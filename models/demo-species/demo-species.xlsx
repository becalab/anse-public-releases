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hxie/projects/anse-models/demo-species/"/>
    </mc:Choice>
  </mc:AlternateContent>
  <xr:revisionPtr revIDLastSave="0" documentId="13_ncr:1_{55627B21-84E9-F24B-A53D-726946CE999E}" xr6:coauthVersionLast="47" xr6:coauthVersionMax="47" xr10:uidLastSave="{00000000-0000-0000-0000-000000000000}"/>
  <bookViews>
    <workbookView xWindow="17820" yWindow="600" windowWidth="33380" windowHeight="26860" xr2:uid="{00000000-000D-0000-FFFF-FFFF00000000}"/>
  </bookViews>
  <sheets>
    <sheet name="Inputs - Flow Network" sheetId="1" r:id="rId1"/>
    <sheet name="Inputs - Carbon Mass" sheetId="2" r:id="rId2"/>
    <sheet name="Inputs - Categorical" sheetId="3" r:id="rId3"/>
    <sheet name="Inputs - Spatial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4" l="1"/>
  <c r="C14" i="4"/>
  <c r="D10" i="4"/>
  <c r="D8" i="2"/>
  <c r="D7" i="2"/>
  <c r="D6" i="2"/>
  <c r="D5" i="2"/>
  <c r="D4" i="2"/>
  <c r="D3" i="2"/>
  <c r="D2" i="2"/>
  <c r="D59" i="1"/>
  <c r="D58" i="1"/>
  <c r="D57" i="1"/>
  <c r="D56" i="1"/>
  <c r="I54" i="1"/>
  <c r="D54" i="1"/>
  <c r="I53" i="1"/>
  <c r="D53" i="1"/>
  <c r="I52" i="1"/>
  <c r="D52" i="1"/>
  <c r="I51" i="1"/>
  <c r="D51" i="1"/>
  <c r="I49" i="1"/>
  <c r="D49" i="1"/>
  <c r="I48" i="1"/>
  <c r="D48" i="1"/>
  <c r="I47" i="1"/>
  <c r="D47" i="1"/>
  <c r="I46" i="1"/>
  <c r="D46" i="1"/>
  <c r="I44" i="1"/>
  <c r="D44" i="1"/>
  <c r="I43" i="1"/>
  <c r="D43" i="1"/>
  <c r="I42" i="1"/>
  <c r="D42" i="1"/>
  <c r="I41" i="1"/>
  <c r="D41" i="1"/>
  <c r="I39" i="1"/>
  <c r="D39" i="1"/>
  <c r="I38" i="1"/>
  <c r="D38" i="1"/>
  <c r="I37" i="1"/>
  <c r="D37" i="1"/>
  <c r="I36" i="1"/>
  <c r="D36" i="1"/>
  <c r="E16" i="1"/>
  <c r="C16" i="1"/>
  <c r="E15" i="1"/>
  <c r="C15" i="1"/>
  <c r="E14" i="1"/>
  <c r="C14" i="1"/>
  <c r="D10" i="1"/>
  <c r="C10" i="1"/>
  <c r="D32" i="1" s="1"/>
  <c r="D8" i="1"/>
  <c r="C8" i="1"/>
  <c r="D24" i="1" s="1"/>
  <c r="D6" i="1"/>
  <c r="C6" i="1"/>
  <c r="D23" i="1" s="1"/>
  <c r="D5" i="1"/>
  <c r="C5" i="1"/>
  <c r="D27" i="1" s="1"/>
  <c r="D4" i="1"/>
  <c r="C4" i="1"/>
  <c r="D26" i="1" s="1"/>
  <c r="D3" i="1"/>
  <c r="C3" i="1"/>
  <c r="D20" i="1" s="1"/>
  <c r="D35" i="3"/>
  <c r="C35" i="3"/>
  <c r="D34" i="3"/>
  <c r="C34" i="3"/>
  <c r="D32" i="3"/>
  <c r="C32" i="3"/>
  <c r="D30" i="3"/>
  <c r="C30" i="3"/>
  <c r="D28" i="3"/>
  <c r="C28" i="3"/>
  <c r="D27" i="3"/>
  <c r="C27" i="3"/>
  <c r="D26" i="3"/>
  <c r="C26" i="3"/>
  <c r="C24" i="1" l="1"/>
  <c r="C32" i="1"/>
  <c r="C61" i="1" s="1"/>
  <c r="C28" i="1" a="1"/>
  <c r="C28" i="1" s="1"/>
  <c r="D21" i="1"/>
  <c r="C23" i="1"/>
  <c r="D28" i="1"/>
  <c r="C21" i="1"/>
  <c r="C22" i="1"/>
  <c r="D22" i="1"/>
  <c r="C2" i="2"/>
  <c r="C6" i="2"/>
  <c r="C26" i="1" a="1"/>
  <c r="C26" i="1" s="1"/>
  <c r="C29" i="1" a="1"/>
  <c r="C29" i="1" s="1"/>
  <c r="C63" i="1" s="1"/>
  <c r="C7" i="2"/>
  <c r="C3" i="2"/>
  <c r="C4" i="2"/>
  <c r="C31" i="1"/>
  <c r="D31" i="1"/>
  <c r="C5" i="2"/>
  <c r="D29" i="1"/>
  <c r="C27" i="1" a="1"/>
  <c r="C27" i="1" s="1"/>
  <c r="C8" i="2"/>
  <c r="C20" i="1"/>
  <c r="C57" i="1" l="1"/>
  <c r="C47" i="1"/>
  <c r="C37" i="1"/>
  <c r="C52" i="1"/>
  <c r="C42" i="1"/>
  <c r="C56" i="1"/>
  <c r="C46" i="1"/>
  <c r="C36" i="1"/>
  <c r="C51" i="1"/>
  <c r="C41" i="1"/>
  <c r="C58" i="1"/>
  <c r="C48" i="1"/>
  <c r="C38" i="1"/>
  <c r="C43" i="1"/>
  <c r="C53" i="1"/>
  <c r="C59" i="1"/>
  <c r="C49" i="1"/>
  <c r="C39" i="1"/>
  <c r="C54" i="1"/>
  <c r="C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tc={000300A7-0012-40A4-BB6B-0061007E0082}</author>
    <author>tc={006E00BA-00C4-437F-9F4C-00ED00BD00C3}</author>
    <author>tc={00380025-0038-4514-86BE-00EE004C00F8}</author>
    <author>tc={005C00AB-00E4-4B56-AE47-007D005B000D}</author>
    <author>tc={005200AC-0094-414C-8605-007C00B90000}</author>
    <author>tc={007F002D-0018-4E4C-816B-00C5006D004D}</author>
    <author>tc={00A6000D-0085-420A-945C-00D000AB00CC}</author>
    <author>tc={00EE002C-00D1-4F51-80E4-00BC008300D5}</author>
    <author>tc={00D90037-007E-4CE3-81A0-006800690063}</author>
    <author>tc={009400C9-0074-4B23-9F8E-00090007001E}</author>
    <author>tc={00E40007-00D8-4137-B594-00B400E80074}</author>
    <author>tc={00450006-005E-46EF-9857-00BD008D008B}</author>
    <author>tc={005500CA-00A7-4EC2-9AFF-008900ED0039}</author>
    <author>tc={002200A6-00D3-4ECC-A176-00DC00CC0000}</author>
  </authors>
  <commentList>
    <comment ref="D1" authorId="0" shapeId="0" xr:uid="{000300A7-0012-40A4-BB6B-0061007E00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unknown/undefined, enter "0"
</t>
      </text>
    </comment>
    <comment ref="F1" authorId="1" shapeId="0" xr:uid="{006E00BA-00C4-437F-9F4C-00ED00BD00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H1" authorId="2" shapeId="0" xr:uid="{00380025-0038-4514-86BE-00EE004C00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I1" authorId="3" shapeId="0" xr:uid="{005C00AB-00E4-4B56-AE47-007D005B00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K1" authorId="4" shapeId="0" xr:uid="{005200AC-0094-414C-8605-007C00B9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D12" authorId="5" shapeId="0" xr:uid="{007F002D-0018-4E4C-816B-00C5006D00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unknown/undefined, enter "0"
</t>
      </text>
    </comment>
    <comment ref="E12" authorId="6" shapeId="0" xr:uid="{00A6000D-0085-420A-945C-00D000AB00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unknown/undefined, enter "0"
</t>
      </text>
    </comment>
    <comment ref="F12" authorId="7" shapeId="0" xr:uid="{00EE002C-00D1-4F51-80E4-00BC008300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G12" authorId="8" shapeId="0" xr:uid="{00D90037-007E-4CE3-81A0-0068006900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J12" authorId="9" shapeId="0" xr:uid="{009400C9-0074-4B23-9F8E-0009000700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E18" authorId="10" shapeId="0" xr:uid="{00E40007-00D8-4137-B594-00B400E800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 field; valid values are TRUE, FALSE, 1, 0
</t>
      </text>
    </comment>
    <comment ref="F18" authorId="11" shapeId="0" xr:uid="{00450006-005E-46EF-9857-00BD008D00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field. For EVENT_POOL that is not source of carbon for the given Event, Sequence Number corresponds to an ACTION_PARAMETER_OUT component with the same sequence number
</t>
      </text>
    </comment>
    <comment ref="G18" authorId="12" shapeId="0" xr:uid="{005500CA-00A7-4EC2-9AFF-008900ED00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 field; valid values are TRUE, FALSE, 1, 0.
If left empty, default is false.
</t>
      </text>
    </comment>
    <comment ref="G34" authorId="13" shapeId="0" xr:uid="{002200A6-00D3-4ECC-A176-00DC00CC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tc={00C60050-0066-4106-8039-00B3005B00FF}</author>
  </authors>
  <commentList>
    <comment ref="B37" authorId="0" shapeId="0" xr:uid="{00C60050-0066-4106-8039-00B3005B00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implemented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tc={001D005E-00FB-4ACF-B15C-00A8009B002C}</author>
    <author>tc={00FB0088-006D-46D1-A121-008500C600B3}</author>
    <author>tc={00F600F8-00F1-4429-91E8-0058005C00C4}</author>
    <author>tc={00930000-00AE-40FA-91D1-00B4003A00E5}</author>
  </authors>
  <commentList>
    <comment ref="C1" authorId="0" shapeId="0" xr:uid="{001D005E-00FB-4ACF-B15C-00A8009B00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 - must be entered here as …
=TEXT(value, "0")
where value can be any valid Excel expression that resolves to an integer value
</t>
      </text>
    </comment>
    <comment ref="D1" authorId="1" shapeId="0" xr:uid="{00FB0088-006D-46D1-A121-008500C600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Technically this field is not required, but it is good practice to provide a value 
</t>
      </text>
    </comment>
    <comment ref="E1" authorId="2" shapeId="0" xr:uid="{00F600F8-00F1-4429-91E8-0058005C00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Technically this field is not required, but it is good practice to provide a value 
</t>
      </text>
    </comment>
    <comment ref="G1" authorId="3" shapeId="0" xr:uid="{00930000-00AE-40FA-91D1-00B4003A00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 - must be entered here as …
=TEXT(value, "0")
where value can be any valid Excel expression that resolves to an integer value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<sst xmlns="http://schemas.openxmlformats.org/spreadsheetml/2006/main" count="179" uniqueCount="98">
  <si>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</si>
  <si>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</si>
  <si>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</si>
  <si>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</si>
  <si>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</si>
  <si>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</si>
  <si>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</si>
  <si>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</si>
  <si>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</si>
  <si>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</si>
  <si>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</si>
  <si>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</si>
  <si>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IPCC default-sawnwood</t>
  </si>
  <si>
    <t>IPCC default-panels</t>
  </si>
  <si>
    <t>IPCC default-paper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</si>
  <si>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</si>
  <si>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</si>
  <si>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</si>
  <si>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</si>
  <si>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</si>
  <si>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</si>
  <si>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</si>
  <si>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</si>
  <si>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</si>
  <si>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</si>
  <si>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</si>
  <si>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</si>
  <si>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</si>
  <si>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</si>
  <si>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</si>
  <si>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</si>
  <si>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Reference</t>
  </si>
  <si>
    <t>Description</t>
  </si>
  <si>
    <t>Keyword: ACTION_PARAMETER_OUT</t>
  </si>
  <si>
    <t>Proportion</t>
  </si>
  <si>
    <t>New Physical State Name</t>
  </si>
  <si>
    <t>Note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</si>
  <si>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</si>
  <si>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</si>
  <si>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</si>
  <si>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</si>
  <si>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</si>
  <si>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</si>
  <si>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</si>
  <si>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Initial Age</t>
  </si>
  <si>
    <t>Tag (Name)</t>
  </si>
  <si>
    <t>Is Retained</t>
  </si>
  <si>
    <t>INITIAL_CMO</t>
  </si>
  <si>
    <t>Keyword: PHYSICAL_STATE</t>
  </si>
  <si>
    <t xml:space="preserve">Description 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</si>
  <si>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</si>
  <si>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</si>
  <si>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</si>
  <si>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</si>
  <si>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</si>
  <si>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</si>
  <si>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</si>
  <si>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SPECIES</t>
  </si>
  <si>
    <t>Spruce</t>
  </si>
  <si>
    <t>Pine</t>
  </si>
  <si>
    <t>Fir</t>
  </si>
  <si>
    <t>Hemlock</t>
  </si>
  <si>
    <t>Douglas-fir</t>
  </si>
  <si>
    <t>Larch</t>
  </si>
  <si>
    <t>Aspen</t>
  </si>
  <si>
    <t>Keyword: SPECIES_GROUP</t>
  </si>
  <si>
    <t>SPECIES_GROUP</t>
  </si>
  <si>
    <t>SPF</t>
  </si>
  <si>
    <t>Hardwood</t>
  </si>
  <si>
    <t>Hem-Fir</t>
  </si>
  <si>
    <t>DFL</t>
  </si>
  <si>
    <t>Keyword: SPECIES_GROUP_MEMBER</t>
  </si>
  <si>
    <t>Species_Group(Name)</t>
  </si>
  <si>
    <t>Species(Name)</t>
  </si>
  <si>
    <t>SPECIES_GROUP_MEMBER</t>
  </si>
  <si>
    <t>Keyword: TAG</t>
  </si>
  <si>
    <t>Value</t>
  </si>
  <si>
    <t>Keyword: ASU</t>
  </si>
  <si>
    <t>ID</t>
  </si>
  <si>
    <t>Area</t>
  </si>
  <si>
    <t>Tag(Name)</t>
  </si>
  <si>
    <t>GIS_Id</t>
  </si>
  <si>
    <t>ASU</t>
  </si>
  <si>
    <t>CAT</t>
  </si>
  <si>
    <t>Keyword: ASU_GROUP_TYPE</t>
  </si>
  <si>
    <t>ASU_GROUP_TYPE</t>
  </si>
  <si>
    <t>Company</t>
  </si>
  <si>
    <t>Keyword: ASU_GROUP</t>
  </si>
  <si>
    <t>ASU_Group_Type(Name)</t>
  </si>
  <si>
    <t>ASU_GROUP</t>
  </si>
  <si>
    <t>Keyword: ASU_GROUP_MEMBER</t>
  </si>
  <si>
    <t>ASU(ID)</t>
  </si>
  <si>
    <t>Includes: ASU_Group(Name)</t>
  </si>
  <si>
    <t>ASU_GROUP_MEMBER</t>
  </si>
  <si>
    <t>Species Rule</t>
  </si>
  <si>
    <t>Physical State Rule</t>
  </si>
  <si>
    <t>Target</t>
  </si>
  <si>
    <t>Action_Parameter_Set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</si>
</sst>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HelveticaNeue"/>
    </font>
    <font>
      <b/>
      <sz val="12"/>
      <color theme="1"/>
      <name val="HelveticaNeue"/>
    </font>
    <font>
      <sz val="12"/>
      <color indexed="64"/>
      <name val="HelveticaNeue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hafer" id="{98AF4EE0-BAA8-F297-9500-1EEFFDE0AD23}" userId="" providerId=""/>
  <person displayName="Magnan, Michael" id="{DB6E6DC8-7003-DE63-795F-97722342F3E4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personId="{DB6E6DC8-7003-DE63-795F-97722342F3E4}" id="{000300A7-0012-40A4-BB6B-0061007E0082}">
    <text xml:space="preserve">If unknown/undefined, enter "0"
</text>
  </threadedComment>
  <threadedComment ref="F1" personId="{98AF4EE0-BAA8-F297-9500-1EEFFDE0AD23}" id="{006E00BA-00C4-437F-9F4C-00ED00BD00C3}">
    <text xml:space="preserve">Not currently supported
</text>
  </threadedComment>
  <threadedComment ref="H1" personId="{98AF4EE0-BAA8-F297-9500-1EEFFDE0AD23}" id="{00380025-0038-4514-86BE-00EE004C00F8}">
    <text xml:space="preserve">Not currently supported
</text>
  </threadedComment>
  <threadedComment ref="I1" personId="{98AF4EE0-BAA8-F297-9500-1EEFFDE0AD23}" id="{005C00AB-00E4-4B56-AE47-007D005B000D}">
    <text xml:space="preserve">Not currently supported
</text>
  </threadedComment>
  <threadedComment ref="K1" personId="{98AF4EE0-BAA8-F297-9500-1EEFFDE0AD23}" id="{005200AC-0094-414C-8605-007C00B90000}">
    <text xml:space="preserve">Not currently supported
</text>
  </threadedComment>
  <threadedComment ref="D12" personId="{DB6E6DC8-7003-DE63-795F-97722342F3E4}" id="{007F002D-0018-4E4C-816B-00C5006D004D}">
    <text xml:space="preserve">If unknown/undefined, enter "0"
</text>
  </threadedComment>
  <threadedComment ref="E12" personId="{DB6E6DC8-7003-DE63-795F-97722342F3E4}" id="{00A6000D-0085-420A-945C-00D000AB00CC}">
    <text xml:space="preserve">If unknown/undefined, enter "0"
</text>
  </threadedComment>
  <threadedComment ref="F12" personId="{DB6E6DC8-7003-DE63-795F-97722342F3E4}" id="{00EE002C-00D1-4F51-80E4-00BC008300D5}">
    <text xml:space="preserve">This fiield's feature not currently supported
</text>
  </threadedComment>
  <threadedComment ref="G12" personId="{DB6E6DC8-7003-DE63-795F-97722342F3E4}" id="{00D90037-007E-4CE3-81A0-006800690063}">
    <text xml:space="preserve">This fiield's feature not currently supported
</text>
  </threadedComment>
  <threadedComment ref="J12" personId="{DB6E6DC8-7003-DE63-795F-97722342F3E4}" id="{009400C9-0074-4B23-9F8E-00090007001E}">
    <text xml:space="preserve">This fiield's feature not currently supported
</text>
  </threadedComment>
  <threadedComment ref="E18" personId="{98AF4EE0-BAA8-F297-9500-1EEFFDE0AD23}" id="{00E40007-00D8-4137-B594-00B400E80074}">
    <text xml:space="preserve">Boolean field; valid values are TRUE, FALSE, 1, 0
</text>
  </threadedComment>
  <threadedComment ref="F18" personId="{DB6E6DC8-7003-DE63-795F-97722342F3E4}" id="{00450006-005E-46EF-9857-00BD008D008B}">
    <text xml:space="preserve">Integer field. For EVENT_POOL that is not source of carbon for the given Event, Sequence Number corresponds to an ACTION_PARAMETER_OUT component with the same sequence number
</text>
  </threadedComment>
  <threadedComment ref="G18" personId="{DB6E6DC8-7003-DE63-795F-97722342F3E4}" id="{005500CA-00A7-4EC2-9AFF-008900ED0039}">
    <text xml:space="preserve">Boolean field; valid values are TRUE, FALSE, 1, 0.
If left empty, default is false.
</text>
  </threadedComment>
  <threadedComment ref="G34" personId="{DB6E6DC8-7003-DE63-795F-97722342F3E4}" id="{002200A6-00D3-4ECC-A176-00DC00CC0000}">
    <text xml:space="preserve">The physical state into which the C mass is transformed. Must supply a distinct Physical State here (not Physical State Group)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7" personId="{DB6E6DC8-7003-DE63-795F-97722342F3E4}" id="{00C60050-0066-4106-8039-00B3005B00FF}">
    <text xml:space="preserve">Not currently implemented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personId="{98AF4EE0-BAA8-F297-9500-1EEFFDE0AD23}" id="{001D005E-00FB-4ACF-B15C-00A8009B002C}">
    <text xml:space="preserve">Integer field - must be entered here as …
=TEXT(value, "0")
where value can be any valid Excel expression that resolves to an integer value
</text>
  </threadedComment>
  <threadedComment ref="D1" personId="{98AF4EE0-BAA8-F297-9500-1EEFFDE0AD23}" id="{00FB0088-006D-46D1-A121-008500C600B3}">
    <text xml:space="preserve">Technically this field is not required, but it is good practice to provide a value 
</text>
  </threadedComment>
  <threadedComment ref="E1" personId="{98AF4EE0-BAA8-F297-9500-1EEFFDE0AD23}" id="{00F600F8-00F1-4429-91E8-0058005C00C4}">
    <text xml:space="preserve">Technically this field is not required, but it is good practice to provide a value 
</text>
  </threadedComment>
  <threadedComment ref="G1" personId="{98AF4EE0-BAA8-F297-9500-1EEFFDE0AD23}" id="{00930000-00AE-40FA-91D1-00B4003A00E5}">
    <text xml:space="preserve">Integer field - must be entered here as …
=TEXT(value, "0")
where value can be any valid Excel expression that resolves to an integer value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63"/>
  <sheetViews>
    <sheetView tabSelected="1" topLeftCell="A6" workbookViewId="0">
      <selection activeCell="F45" sqref="F45"/>
    </sheetView>
  </sheetViews>
  <sheetFormatPr baseColWidth="10" defaultColWidth="7.5703125" defaultRowHeight="16" customHeight="1"/>
  <cols>
    <col min="1" max="1" width="10.140625" customWidth="1"/>
    <col min="2" max="2" width="24.140625" customWidth="1"/>
    <col min="3" max="3" width="25.28515625" customWidth="1"/>
    <col min="4" max="4" width="17.85546875" customWidth="1"/>
    <col min="5" max="5" width="18.7109375" customWidth="1"/>
    <col min="6" max="6" width="20.5703125" customWidth="1"/>
    <col min="7" max="7" width="21" customWidth="1"/>
    <col min="8" max="8" width="16.8554687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2:12" s="1" customFormat="1" ht="16" customHeight="1">
      <c r="B1" s="2" t="s">
        <v>0</v>
      </c>
      <c r="C1" s="2" t="s">
        <v>1</v>
      </c>
      <c r="D1" s="4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3" spans="2:12" ht="16" customHeight="1">
      <c r="B3" t="s">
        <v>11</v>
      </c>
      <c r="C3" t="str">
        <f>"Roundwood, "&amp;'Inputs - Spatial'!$C$10</f>
        <v>Roundwood, CAT</v>
      </c>
      <c r="D3">
        <f>'Inputs - Spatial'!$C$2</f>
        <v>1725</v>
      </c>
    </row>
    <row r="4" spans="2:12" ht="16" customHeight="1">
      <c r="B4" t="s">
        <v>11</v>
      </c>
      <c r="C4" t="str">
        <f>"Sawnwood, "&amp;'Inputs - Spatial'!$C$10</f>
        <v>Sawnwood, CAT</v>
      </c>
      <c r="D4">
        <f>'Inputs - Spatial'!$C$2</f>
        <v>1725</v>
      </c>
      <c r="E4" t="s">
        <v>12</v>
      </c>
    </row>
    <row r="5" spans="2:12" ht="16" customHeight="1">
      <c r="B5" t="s">
        <v>11</v>
      </c>
      <c r="C5" t="str">
        <f>"Panels, "&amp;'Inputs - Spatial'!$C$10</f>
        <v>Panels, CAT</v>
      </c>
      <c r="D5">
        <f>'Inputs - Spatial'!$C$2</f>
        <v>1725</v>
      </c>
      <c r="E5" t="s">
        <v>13</v>
      </c>
    </row>
    <row r="6" spans="2:12" ht="16" customHeight="1">
      <c r="B6" t="s">
        <v>11</v>
      </c>
      <c r="C6" t="str">
        <f>"Paper, "&amp;'Inputs - Spatial'!$C$10</f>
        <v>Paper, CAT</v>
      </c>
      <c r="D6">
        <f>'Inputs - Spatial'!$C$2</f>
        <v>1725</v>
      </c>
      <c r="E6" t="s">
        <v>14</v>
      </c>
    </row>
    <row r="8" spans="2:12" ht="16" customHeight="1">
      <c r="B8" t="s">
        <v>11</v>
      </c>
      <c r="C8" s="3" t="str">
        <f>"Bioenergy, "&amp;'Inputs - Spatial'!$C$10</f>
        <v>Bioenergy, CAT</v>
      </c>
      <c r="D8">
        <f>'Inputs - Spatial'!$C$2</f>
        <v>1725</v>
      </c>
    </row>
    <row r="10" spans="2:12" ht="16" customHeight="1">
      <c r="B10" t="s">
        <v>11</v>
      </c>
      <c r="C10" t="str">
        <f>"CO2, "&amp;'Inputs - Spatial'!$C$10</f>
        <v>CO2, CAT</v>
      </c>
      <c r="D10">
        <f>'Inputs - Spatial'!$C$2</f>
        <v>1725</v>
      </c>
    </row>
    <row r="12" spans="2:12" s="1" customFormat="1" ht="16" customHeight="1">
      <c r="B12" s="2" t="s">
        <v>15</v>
      </c>
      <c r="C12" s="2" t="s">
        <v>1</v>
      </c>
      <c r="D12" s="4" t="s">
        <v>16</v>
      </c>
      <c r="E12" s="4" t="s">
        <v>2</v>
      </c>
      <c r="F12" s="1" t="s">
        <v>17</v>
      </c>
      <c r="G12" s="1" t="s">
        <v>18</v>
      </c>
      <c r="H12" s="1" t="s">
        <v>19</v>
      </c>
      <c r="I12" s="1" t="s">
        <v>20</v>
      </c>
      <c r="J12" s="1" t="s">
        <v>21</v>
      </c>
      <c r="K12" s="1" t="s">
        <v>22</v>
      </c>
      <c r="L12" s="1" t="s">
        <v>10</v>
      </c>
    </row>
    <row r="14" spans="2:12" ht="16" customHeight="1">
      <c r="B14" t="s">
        <v>23</v>
      </c>
      <c r="C14" t="str">
        <f>"Manufacturing, "&amp;'Inputs - Spatial'!C10</f>
        <v>Manufacturing, CAT</v>
      </c>
      <c r="E14">
        <f>'Inputs - Spatial'!$C$2</f>
        <v>1725</v>
      </c>
    </row>
    <row r="15" spans="2:12" ht="16" customHeight="1">
      <c r="B15" t="s">
        <v>23</v>
      </c>
      <c r="C15" t="str">
        <f>"Landfilling, "&amp;'Inputs - Spatial'!$C$10</f>
        <v>Landfilling, CAT</v>
      </c>
      <c r="E15">
        <f>'Inputs - Spatial'!$C$2</f>
        <v>1725</v>
      </c>
    </row>
    <row r="16" spans="2:12" ht="16" customHeight="1">
      <c r="B16" t="s">
        <v>23</v>
      </c>
      <c r="C16" t="str">
        <f>"Combusting, "&amp;'Inputs - Spatial'!$C$10</f>
        <v>Combusting, CAT</v>
      </c>
      <c r="E16">
        <f>'Inputs - Spatial'!$C$2</f>
        <v>1725</v>
      </c>
    </row>
    <row r="18" spans="2:7" s="1" customFormat="1" ht="16" customHeight="1">
      <c r="B18" s="2" t="s">
        <v>24</v>
      </c>
      <c r="C18" s="2" t="s">
        <v>25</v>
      </c>
      <c r="D18" s="2" t="s">
        <v>26</v>
      </c>
      <c r="E18" s="2" t="s">
        <v>27</v>
      </c>
      <c r="F18" s="2" t="s">
        <v>28</v>
      </c>
      <c r="G18" s="1" t="s">
        <v>29</v>
      </c>
    </row>
    <row r="20" spans="2:7" ht="16" customHeight="1">
      <c r="B20" t="s">
        <v>30</v>
      </c>
      <c r="C20" t="str">
        <f t="shared" ref="C20:C24" si="0">$C$14</f>
        <v>Manufacturing, CAT</v>
      </c>
      <c r="D20" t="str">
        <f>C3</f>
        <v>Roundwood, CAT</v>
      </c>
      <c r="E20" t="b">
        <v>1</v>
      </c>
      <c r="F20">
        <v>1</v>
      </c>
    </row>
    <row r="21" spans="2:7" ht="16" customHeight="1">
      <c r="B21" t="s">
        <v>30</v>
      </c>
      <c r="C21" t="str">
        <f t="shared" si="0"/>
        <v>Manufacturing, CAT</v>
      </c>
      <c r="D21" t="str">
        <f>C4</f>
        <v>Sawnwood, CAT</v>
      </c>
      <c r="E21" t="b">
        <v>0</v>
      </c>
      <c r="F21">
        <v>1</v>
      </c>
    </row>
    <row r="22" spans="2:7" ht="16" customHeight="1">
      <c r="B22" t="s">
        <v>30</v>
      </c>
      <c r="C22" t="str">
        <f t="shared" si="0"/>
        <v>Manufacturing, CAT</v>
      </c>
      <c r="D22" t="str">
        <f>C5</f>
        <v>Panels, CAT</v>
      </c>
      <c r="E22" t="b">
        <v>0</v>
      </c>
      <c r="F22">
        <v>2</v>
      </c>
    </row>
    <row r="23" spans="2:7" ht="16" customHeight="1">
      <c r="B23" t="s">
        <v>30</v>
      </c>
      <c r="C23" t="str">
        <f t="shared" si="0"/>
        <v>Manufacturing, CAT</v>
      </c>
      <c r="D23" t="str">
        <f>C6</f>
        <v>Paper, CAT</v>
      </c>
      <c r="E23" t="b">
        <v>0</v>
      </c>
      <c r="F23">
        <v>3</v>
      </c>
    </row>
    <row r="24" spans="2:7" ht="16" customHeight="1">
      <c r="B24" t="s">
        <v>30</v>
      </c>
      <c r="C24" t="str">
        <f t="shared" si="0"/>
        <v>Manufacturing, CAT</v>
      </c>
      <c r="D24" t="str">
        <f>C8</f>
        <v>Bioenergy, CAT</v>
      </c>
      <c r="E24" t="b">
        <v>0</v>
      </c>
      <c r="F24">
        <v>4</v>
      </c>
    </row>
    <row r="26" spans="2:7" ht="16" customHeight="1">
      <c r="B26" t="s">
        <v>30</v>
      </c>
      <c r="C26" t="str" cm="1">
        <f t="array" ref="C26">$C$15</f>
        <v>Landfilling, CAT</v>
      </c>
      <c r="D26" t="str">
        <f>C4</f>
        <v>Sawnwood, CAT</v>
      </c>
      <c r="E26" t="b">
        <v>1</v>
      </c>
      <c r="F26">
        <v>1</v>
      </c>
    </row>
    <row r="27" spans="2:7" ht="16" customHeight="1">
      <c r="B27" t="s">
        <v>30</v>
      </c>
      <c r="C27" t="str" cm="1">
        <f t="array" ref="C27">$C$15</f>
        <v>Landfilling, CAT</v>
      </c>
      <c r="D27" t="str">
        <f>C5</f>
        <v>Panels, CAT</v>
      </c>
      <c r="E27" t="b">
        <v>1</v>
      </c>
      <c r="F27">
        <v>2</v>
      </c>
    </row>
    <row r="28" spans="2:7" ht="16" customHeight="1">
      <c r="B28" t="s">
        <v>30</v>
      </c>
      <c r="C28" t="str" cm="1">
        <f t="array" ref="C28">$C$15</f>
        <v>Landfilling, CAT</v>
      </c>
      <c r="D28" t="str">
        <f>C6</f>
        <v>Paper, CAT</v>
      </c>
      <c r="E28" t="b">
        <v>1</v>
      </c>
      <c r="F28">
        <v>3</v>
      </c>
    </row>
    <row r="29" spans="2:7" ht="16" customHeight="1">
      <c r="B29" t="s">
        <v>30</v>
      </c>
      <c r="C29" t="str" cm="1">
        <f t="array" ref="C29">$C$15</f>
        <v>Landfilling, CAT</v>
      </c>
      <c r="D29" t="str">
        <f>C10</f>
        <v>CO2, CAT</v>
      </c>
      <c r="E29" t="b">
        <v>0</v>
      </c>
      <c r="F29">
        <v>1</v>
      </c>
    </row>
    <row r="31" spans="2:7" ht="16" customHeight="1">
      <c r="B31" t="s">
        <v>30</v>
      </c>
      <c r="C31" t="str">
        <f t="shared" ref="C31:C32" si="1">$C$16</f>
        <v>Combusting, CAT</v>
      </c>
      <c r="D31" t="str">
        <f>C8</f>
        <v>Bioenergy, CAT</v>
      </c>
      <c r="E31" t="b">
        <v>1</v>
      </c>
      <c r="F31">
        <v>1</v>
      </c>
    </row>
    <row r="32" spans="2:7" ht="16" customHeight="1">
      <c r="B32" t="s">
        <v>30</v>
      </c>
      <c r="C32" t="str">
        <f t="shared" si="1"/>
        <v>Combusting, CAT</v>
      </c>
      <c r="D32" t="str">
        <f>C10</f>
        <v>CO2, CAT</v>
      </c>
      <c r="E32" t="b">
        <v>0</v>
      </c>
      <c r="F32">
        <v>1</v>
      </c>
    </row>
    <row r="34" spans="2:10" s="1" customFormat="1" ht="16" customHeight="1">
      <c r="B34" s="2" t="s">
        <v>33</v>
      </c>
      <c r="C34" s="2" t="s">
        <v>97</v>
      </c>
      <c r="D34" s="2" t="s">
        <v>28</v>
      </c>
      <c r="E34" s="2" t="s">
        <v>34</v>
      </c>
      <c r="F34" s="1" t="s">
        <v>96</v>
      </c>
      <c r="G34" s="1" t="s">
        <v>35</v>
      </c>
      <c r="H34" s="1" t="s">
        <v>95</v>
      </c>
      <c r="I34" s="1" t="s">
        <v>94</v>
      </c>
      <c r="J34" s="1" t="s">
        <v>36</v>
      </c>
    </row>
    <row r="36" spans="2:10" ht="16" customHeight="1">
      <c r="B36" t="s">
        <v>37</v>
      </c>
      <c r="C36" t="str">
        <f>$C$21</f>
        <v>Manufacturing, CAT</v>
      </c>
      <c r="D36">
        <f>$F$21</f>
        <v>1</v>
      </c>
      <c r="E36">
        <v>0.4</v>
      </c>
      <c r="I36" t="str">
        <f>'Inputs - Categorical'!$C$19</f>
        <v>SPF</v>
      </c>
    </row>
    <row r="37" spans="2:10" ht="16" customHeight="1">
      <c r="B37" t="s">
        <v>37</v>
      </c>
      <c r="C37" t="str">
        <f>$C$22</f>
        <v>Manufacturing, CAT</v>
      </c>
      <c r="D37">
        <f>$F$22</f>
        <v>2</v>
      </c>
      <c r="E37">
        <v>0</v>
      </c>
      <c r="I37" t="str">
        <f>'Inputs - Categorical'!$C$19</f>
        <v>SPF</v>
      </c>
    </row>
    <row r="38" spans="2:10" ht="16" customHeight="1">
      <c r="B38" t="s">
        <v>37</v>
      </c>
      <c r="C38" t="str">
        <f>$C$23</f>
        <v>Manufacturing, CAT</v>
      </c>
      <c r="D38">
        <f>$F$23</f>
        <v>3</v>
      </c>
      <c r="E38">
        <v>0.25</v>
      </c>
      <c r="I38" t="str">
        <f>'Inputs - Categorical'!$C$19</f>
        <v>SPF</v>
      </c>
    </row>
    <row r="39" spans="2:10" ht="16" customHeight="1">
      <c r="B39" t="s">
        <v>37</v>
      </c>
      <c r="C39" t="str">
        <f>$C$24</f>
        <v>Manufacturing, CAT</v>
      </c>
      <c r="D39">
        <f>$F$24</f>
        <v>4</v>
      </c>
      <c r="E39">
        <v>0.35</v>
      </c>
      <c r="I39" t="str">
        <f>'Inputs - Categorical'!$C$19</f>
        <v>SPF</v>
      </c>
    </row>
    <row r="41" spans="2:10" ht="16" customHeight="1">
      <c r="B41" t="s">
        <v>37</v>
      </c>
      <c r="C41" t="str">
        <f>$C$21</f>
        <v>Manufacturing, CAT</v>
      </c>
      <c r="D41">
        <f>$F$21</f>
        <v>1</v>
      </c>
      <c r="E41">
        <v>0</v>
      </c>
      <c r="I41" t="str">
        <f>'Inputs - Categorical'!$C$20</f>
        <v>Hardwood</v>
      </c>
    </row>
    <row r="42" spans="2:10" ht="16" customHeight="1">
      <c r="B42" t="s">
        <v>37</v>
      </c>
      <c r="C42" t="str">
        <f>$C$22</f>
        <v>Manufacturing, CAT</v>
      </c>
      <c r="D42">
        <f>$F$22</f>
        <v>2</v>
      </c>
      <c r="E42">
        <v>0.4</v>
      </c>
      <c r="I42" t="str">
        <f>'Inputs - Categorical'!$C$20</f>
        <v>Hardwood</v>
      </c>
    </row>
    <row r="43" spans="2:10" ht="16" customHeight="1">
      <c r="B43" t="s">
        <v>37</v>
      </c>
      <c r="C43" t="str">
        <f>$C$23</f>
        <v>Manufacturing, CAT</v>
      </c>
      <c r="D43">
        <f>$F$23</f>
        <v>3</v>
      </c>
      <c r="E43">
        <v>0.25</v>
      </c>
      <c r="I43" t="str">
        <f>'Inputs - Categorical'!$C$20</f>
        <v>Hardwood</v>
      </c>
    </row>
    <row r="44" spans="2:10" ht="16" customHeight="1">
      <c r="B44" t="s">
        <v>37</v>
      </c>
      <c r="C44" t="str">
        <f>$C$24</f>
        <v>Manufacturing, CAT</v>
      </c>
      <c r="D44">
        <f>$F$24</f>
        <v>4</v>
      </c>
      <c r="E44">
        <v>0.35</v>
      </c>
      <c r="I44" t="str">
        <f>'Inputs - Categorical'!$C$20</f>
        <v>Hardwood</v>
      </c>
    </row>
    <row r="46" spans="2:10" ht="16" customHeight="1">
      <c r="B46" t="s">
        <v>37</v>
      </c>
      <c r="C46" t="str">
        <f>$C$21</f>
        <v>Manufacturing, CAT</v>
      </c>
      <c r="D46">
        <f>$F$21</f>
        <v>1</v>
      </c>
      <c r="E46">
        <v>0.35</v>
      </c>
      <c r="I46" t="str">
        <f>'Inputs - Categorical'!$C$21</f>
        <v>Hem-Fir</v>
      </c>
    </row>
    <row r="47" spans="2:10" ht="16" customHeight="1">
      <c r="B47" t="s">
        <v>37</v>
      </c>
      <c r="C47" t="str">
        <f>$C$22</f>
        <v>Manufacturing, CAT</v>
      </c>
      <c r="D47">
        <f>$F$22</f>
        <v>2</v>
      </c>
      <c r="E47">
        <v>0</v>
      </c>
      <c r="I47" t="str">
        <f>'Inputs - Categorical'!$C$21</f>
        <v>Hem-Fir</v>
      </c>
    </row>
    <row r="48" spans="2:10" ht="16" customHeight="1">
      <c r="B48" t="s">
        <v>37</v>
      </c>
      <c r="C48" t="str">
        <f>$C$23</f>
        <v>Manufacturing, CAT</v>
      </c>
      <c r="D48">
        <f>$F$23</f>
        <v>3</v>
      </c>
      <c r="E48">
        <v>0.25</v>
      </c>
      <c r="I48" t="str">
        <f>'Inputs - Categorical'!$C$21</f>
        <v>Hem-Fir</v>
      </c>
    </row>
    <row r="49" spans="2:9" ht="16" customHeight="1">
      <c r="B49" t="s">
        <v>37</v>
      </c>
      <c r="C49" t="str">
        <f>$C$24</f>
        <v>Manufacturing, CAT</v>
      </c>
      <c r="D49">
        <f>$F$24</f>
        <v>4</v>
      </c>
      <c r="E49">
        <v>0.4</v>
      </c>
      <c r="I49" t="str">
        <f>'Inputs - Categorical'!$C$21</f>
        <v>Hem-Fir</v>
      </c>
    </row>
    <row r="51" spans="2:9" ht="16" customHeight="1">
      <c r="B51" t="s">
        <v>37</v>
      </c>
      <c r="C51" t="str">
        <f>$C$21</f>
        <v>Manufacturing, CAT</v>
      </c>
      <c r="D51">
        <f t="shared" ref="D51:D54" si="2">F21</f>
        <v>1</v>
      </c>
      <c r="E51">
        <v>0.45</v>
      </c>
      <c r="I51" t="str">
        <f>'Inputs - Categorical'!$C$22</f>
        <v>DFL</v>
      </c>
    </row>
    <row r="52" spans="2:9" ht="16" customHeight="1">
      <c r="B52" t="s">
        <v>37</v>
      </c>
      <c r="C52" t="str">
        <f>$C$22</f>
        <v>Manufacturing, CAT</v>
      </c>
      <c r="D52">
        <f t="shared" si="2"/>
        <v>2</v>
      </c>
      <c r="E52">
        <v>0.15</v>
      </c>
      <c r="I52" t="str">
        <f>'Inputs - Categorical'!$C$22</f>
        <v>DFL</v>
      </c>
    </row>
    <row r="53" spans="2:9" ht="16" customHeight="1">
      <c r="B53" t="s">
        <v>37</v>
      </c>
      <c r="C53" t="str">
        <f>$C$23</f>
        <v>Manufacturing, CAT</v>
      </c>
      <c r="D53">
        <f t="shared" si="2"/>
        <v>3</v>
      </c>
      <c r="E53">
        <v>0.15</v>
      </c>
      <c r="I53" t="str">
        <f>'Inputs - Categorical'!$C$22</f>
        <v>DFL</v>
      </c>
    </row>
    <row r="54" spans="2:9" ht="16" customHeight="1">
      <c r="B54" t="s">
        <v>37</v>
      </c>
      <c r="C54" t="str">
        <f>$C$24</f>
        <v>Manufacturing, CAT</v>
      </c>
      <c r="D54">
        <f t="shared" si="2"/>
        <v>4</v>
      </c>
      <c r="E54">
        <v>0.25</v>
      </c>
      <c r="I54" t="str">
        <f>'Inputs - Categorical'!$C$22</f>
        <v>DFL</v>
      </c>
    </row>
    <row r="56" spans="2:9" ht="16" customHeight="1">
      <c r="B56" t="s">
        <v>37</v>
      </c>
      <c r="C56" t="str">
        <f>$C$21</f>
        <v>Manufacturing, CAT</v>
      </c>
      <c r="D56">
        <f t="shared" ref="D56:D59" si="3">F21</f>
        <v>1</v>
      </c>
      <c r="E56">
        <v>0</v>
      </c>
    </row>
    <row r="57" spans="2:9" ht="16" customHeight="1">
      <c r="B57" t="s">
        <v>37</v>
      </c>
      <c r="C57" t="str">
        <f>$C$22</f>
        <v>Manufacturing, CAT</v>
      </c>
      <c r="D57">
        <f t="shared" si="3"/>
        <v>2</v>
      </c>
      <c r="E57">
        <v>0</v>
      </c>
    </row>
    <row r="58" spans="2:9" ht="16" customHeight="1">
      <c r="B58" t="s">
        <v>37</v>
      </c>
      <c r="C58" t="str">
        <f>$C$23</f>
        <v>Manufacturing, CAT</v>
      </c>
      <c r="D58">
        <f t="shared" si="3"/>
        <v>3</v>
      </c>
      <c r="E58">
        <v>0</v>
      </c>
    </row>
    <row r="59" spans="2:9" ht="16" customHeight="1">
      <c r="B59" t="s">
        <v>37</v>
      </c>
      <c r="C59" t="str">
        <f>$C$24</f>
        <v>Manufacturing, CAT</v>
      </c>
      <c r="D59">
        <f t="shared" si="3"/>
        <v>4</v>
      </c>
      <c r="E59">
        <v>1</v>
      </c>
    </row>
    <row r="61" spans="2:9" ht="16" customHeight="1">
      <c r="B61" t="s">
        <v>37</v>
      </c>
      <c r="C61" t="str">
        <f>C32</f>
        <v>Combusting, CAT</v>
      </c>
      <c r="D61">
        <v>1</v>
      </c>
      <c r="E61">
        <v>1</v>
      </c>
    </row>
    <row r="63" spans="2:9" ht="16" customHeight="1">
      <c r="B63" t="s">
        <v>37</v>
      </c>
      <c r="C63" t="str">
        <f>C29</f>
        <v>Landfilling, CAT</v>
      </c>
      <c r="D63">
        <v>1</v>
      </c>
      <c r="E63">
        <v>1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8"/>
  <sheetViews>
    <sheetView workbookViewId="0">
      <selection activeCell="E59" sqref="E59"/>
    </sheetView>
  </sheetViews>
  <sheetFormatPr baseColWidth="10" defaultRowHeight="16"/>
  <cols>
    <col min="2" max="2" width="19.28515625" bestFit="1" customWidth="1"/>
    <col min="3" max="3" width="22.42578125" bestFit="1" customWidth="1"/>
    <col min="4" max="4" width="16" customWidth="1"/>
    <col min="5" max="5" width="17.7109375" bestFit="1" customWidth="1"/>
    <col min="6" max="6" width="21.5703125" bestFit="1" customWidth="1"/>
    <col min="7" max="7" width="19.85546875" bestFit="1" customWidth="1"/>
    <col min="8" max="10" width="10" bestFit="1" customWidth="1"/>
    <col min="11" max="11" width="10.140625" customWidth="1"/>
  </cols>
  <sheetData>
    <row r="1" spans="2:11" s="1" customFormat="1">
      <c r="B1" s="2" t="s">
        <v>38</v>
      </c>
      <c r="C1" s="2" t="s">
        <v>39</v>
      </c>
      <c r="D1" s="1" t="s">
        <v>40</v>
      </c>
      <c r="E1" s="1" t="s">
        <v>41</v>
      </c>
      <c r="F1" s="2" t="s">
        <v>42</v>
      </c>
      <c r="G1" s="2" t="s">
        <v>43</v>
      </c>
      <c r="H1" s="1" t="s">
        <v>44</v>
      </c>
      <c r="I1" s="1" t="s">
        <v>45</v>
      </c>
      <c r="J1" s="1" t="s">
        <v>46</v>
      </c>
      <c r="K1" s="1" t="s">
        <v>32</v>
      </c>
    </row>
    <row r="2" spans="2:11">
      <c r="B2" t="s">
        <v>47</v>
      </c>
      <c r="C2" t="str">
        <f>'Inputs - Flow Network'!$C$3</f>
        <v>Roundwood, CAT</v>
      </c>
      <c r="D2" t="str">
        <f>'Inputs - Categorical'!C9</f>
        <v>Spruce</v>
      </c>
      <c r="F2">
        <v>100</v>
      </c>
      <c r="G2">
        <v>1</v>
      </c>
      <c r="K2">
        <v>1990</v>
      </c>
    </row>
    <row r="3" spans="2:11">
      <c r="B3" t="s">
        <v>47</v>
      </c>
      <c r="C3" t="str">
        <f>'Inputs - Flow Network'!$C$3</f>
        <v>Roundwood, CAT</v>
      </c>
      <c r="D3" t="str">
        <f>'Inputs - Categorical'!C10</f>
        <v>Pine</v>
      </c>
      <c r="F3">
        <v>100</v>
      </c>
      <c r="G3">
        <v>1</v>
      </c>
      <c r="K3">
        <v>1990</v>
      </c>
    </row>
    <row r="4" spans="2:11">
      <c r="B4" t="s">
        <v>47</v>
      </c>
      <c r="C4" t="str">
        <f>'Inputs - Flow Network'!$C$3</f>
        <v>Roundwood, CAT</v>
      </c>
      <c r="D4" t="str">
        <f>'Inputs - Categorical'!C11</f>
        <v>Fir</v>
      </c>
      <c r="F4">
        <v>100</v>
      </c>
      <c r="G4">
        <v>1</v>
      </c>
      <c r="K4">
        <v>1990</v>
      </c>
    </row>
    <row r="5" spans="2:11">
      <c r="B5" t="s">
        <v>47</v>
      </c>
      <c r="C5" t="str">
        <f>'Inputs - Flow Network'!$C$3</f>
        <v>Roundwood, CAT</v>
      </c>
      <c r="D5" t="str">
        <f>'Inputs - Categorical'!C12</f>
        <v>Hemlock</v>
      </c>
      <c r="F5">
        <v>100</v>
      </c>
      <c r="G5">
        <v>1</v>
      </c>
      <c r="K5">
        <v>1990</v>
      </c>
    </row>
    <row r="6" spans="2:11">
      <c r="B6" t="s">
        <v>47</v>
      </c>
      <c r="C6" t="str">
        <f>'Inputs - Flow Network'!$C$3</f>
        <v>Roundwood, CAT</v>
      </c>
      <c r="D6" t="str">
        <f>'Inputs - Categorical'!C13</f>
        <v>Douglas-fir</v>
      </c>
      <c r="F6">
        <v>100</v>
      </c>
      <c r="G6">
        <v>1</v>
      </c>
      <c r="K6">
        <v>1990</v>
      </c>
    </row>
    <row r="7" spans="2:11">
      <c r="B7" t="s">
        <v>47</v>
      </c>
      <c r="C7" t="str">
        <f>'Inputs - Flow Network'!$C$3</f>
        <v>Roundwood, CAT</v>
      </c>
      <c r="D7" t="str">
        <f>'Inputs - Categorical'!C14</f>
        <v>Larch</v>
      </c>
      <c r="F7">
        <v>100</v>
      </c>
      <c r="G7">
        <v>1</v>
      </c>
      <c r="K7">
        <v>1990</v>
      </c>
    </row>
    <row r="8" spans="2:11">
      <c r="B8" t="s">
        <v>47</v>
      </c>
      <c r="C8" t="str">
        <f>'Inputs - Flow Network'!$C$3</f>
        <v>Roundwood, CAT</v>
      </c>
      <c r="D8" t="str">
        <f>'Inputs - Categorical'!C15</f>
        <v>Aspen</v>
      </c>
      <c r="F8">
        <v>100</v>
      </c>
      <c r="G8">
        <v>1</v>
      </c>
      <c r="K8">
        <v>1990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7"/>
  <sheetViews>
    <sheetView workbookViewId="0">
      <selection activeCell="E45" sqref="E45"/>
    </sheetView>
  </sheetViews>
  <sheetFormatPr baseColWidth="10" defaultRowHeight="16"/>
  <cols>
    <col min="1" max="1" width="9.7109375" bestFit="1" customWidth="1"/>
    <col min="2" max="2" width="39" bestFit="1" customWidth="1"/>
    <col min="3" max="3" width="18.140625" bestFit="1" customWidth="1"/>
    <col min="4" max="4" width="20.7109375" customWidth="1"/>
    <col min="5" max="5" width="16.28515625" customWidth="1"/>
    <col min="6" max="6" width="8.5703125" bestFit="1" customWidth="1"/>
    <col min="7" max="7" width="9.7109375" bestFit="1" customWidth="1"/>
  </cols>
  <sheetData>
    <row r="1" spans="2:7" s="1" customFormat="1">
      <c r="B1" s="2" t="s">
        <v>48</v>
      </c>
      <c r="C1" s="2" t="s">
        <v>1</v>
      </c>
      <c r="D1" s="1" t="s">
        <v>49</v>
      </c>
    </row>
    <row r="3" spans="2:7" s="1" customFormat="1">
      <c r="B3" s="2" t="s">
        <v>50</v>
      </c>
      <c r="C3" s="2" t="s">
        <v>1</v>
      </c>
      <c r="D3" s="1" t="s">
        <v>31</v>
      </c>
      <c r="E3" s="1" t="s">
        <v>32</v>
      </c>
    </row>
    <row r="5" spans="2:7" s="1" customFormat="1">
      <c r="B5" s="2" t="s">
        <v>51</v>
      </c>
      <c r="C5" s="2" t="s">
        <v>52</v>
      </c>
      <c r="D5" s="2" t="s">
        <v>53</v>
      </c>
    </row>
    <row r="7" spans="2:7" s="1" customFormat="1">
      <c r="B7" s="2" t="s">
        <v>54</v>
      </c>
      <c r="C7" s="2" t="s">
        <v>1</v>
      </c>
      <c r="D7" s="1" t="s">
        <v>55</v>
      </c>
      <c r="E7" s="1" t="s">
        <v>56</v>
      </c>
      <c r="F7" s="1" t="s">
        <v>31</v>
      </c>
      <c r="G7" s="1" t="s">
        <v>32</v>
      </c>
    </row>
    <row r="9" spans="2:7">
      <c r="B9" t="s">
        <v>57</v>
      </c>
      <c r="C9" s="3" t="s">
        <v>58</v>
      </c>
    </row>
    <row r="10" spans="2:7">
      <c r="B10" t="s">
        <v>57</v>
      </c>
      <c r="C10" s="3" t="s">
        <v>59</v>
      </c>
    </row>
    <row r="11" spans="2:7">
      <c r="B11" t="s">
        <v>57</v>
      </c>
      <c r="C11" s="3" t="s">
        <v>60</v>
      </c>
    </row>
    <row r="12" spans="2:7">
      <c r="B12" t="s">
        <v>57</v>
      </c>
      <c r="C12" s="3" t="s">
        <v>61</v>
      </c>
    </row>
    <row r="13" spans="2:7">
      <c r="B13" t="s">
        <v>57</v>
      </c>
      <c r="C13" s="3" t="s">
        <v>62</v>
      </c>
    </row>
    <row r="14" spans="2:7">
      <c r="B14" t="s">
        <v>57</v>
      </c>
      <c r="C14" s="3" t="s">
        <v>63</v>
      </c>
    </row>
    <row r="15" spans="2:7">
      <c r="B15" t="s">
        <v>57</v>
      </c>
      <c r="C15" s="3" t="s">
        <v>64</v>
      </c>
    </row>
    <row r="17" spans="2:5" s="1" customFormat="1">
      <c r="B17" s="2" t="s">
        <v>65</v>
      </c>
      <c r="C17" s="2" t="s">
        <v>1</v>
      </c>
      <c r="D17" s="1" t="s">
        <v>31</v>
      </c>
      <c r="E17" s="1" t="s">
        <v>32</v>
      </c>
    </row>
    <row r="19" spans="2:5">
      <c r="B19" t="s">
        <v>66</v>
      </c>
      <c r="C19" s="3" t="s">
        <v>67</v>
      </c>
    </row>
    <row r="20" spans="2:5">
      <c r="B20" t="s">
        <v>66</v>
      </c>
      <c r="C20" s="3" t="s">
        <v>68</v>
      </c>
    </row>
    <row r="21" spans="2:5">
      <c r="B21" t="s">
        <v>66</v>
      </c>
      <c r="C21" s="3" t="s">
        <v>69</v>
      </c>
    </row>
    <row r="22" spans="2:5">
      <c r="B22" t="s">
        <v>66</v>
      </c>
      <c r="C22" s="3" t="s">
        <v>70</v>
      </c>
    </row>
    <row r="24" spans="2:5" s="1" customFormat="1">
      <c r="B24" s="2" t="s">
        <v>71</v>
      </c>
      <c r="C24" s="2" t="s">
        <v>72</v>
      </c>
      <c r="D24" s="2" t="s">
        <v>73</v>
      </c>
    </row>
    <row r="26" spans="2:5">
      <c r="B26" t="s">
        <v>74</v>
      </c>
      <c r="C26" t="str">
        <f t="shared" ref="C26:C28" si="0">$C$19</f>
        <v>SPF</v>
      </c>
      <c r="D26" t="str">
        <f t="shared" ref="D26:D28" si="1">C9</f>
        <v>Spruce</v>
      </c>
    </row>
    <row r="27" spans="2:5">
      <c r="B27" t="s">
        <v>74</v>
      </c>
      <c r="C27" t="str">
        <f t="shared" si="0"/>
        <v>SPF</v>
      </c>
      <c r="D27" t="str">
        <f t="shared" si="1"/>
        <v>Pine</v>
      </c>
    </row>
    <row r="28" spans="2:5">
      <c r="B28" t="s">
        <v>74</v>
      </c>
      <c r="C28" t="str">
        <f t="shared" si="0"/>
        <v>SPF</v>
      </c>
      <c r="D28" t="str">
        <f t="shared" si="1"/>
        <v>Fir</v>
      </c>
    </row>
    <row r="30" spans="2:5">
      <c r="B30" t="s">
        <v>74</v>
      </c>
      <c r="C30" t="str">
        <f>C20</f>
        <v>Hardwood</v>
      </c>
      <c r="D30" t="str">
        <f>C15</f>
        <v>Aspen</v>
      </c>
    </row>
    <row r="32" spans="2:5">
      <c r="B32" t="s">
        <v>74</v>
      </c>
      <c r="C32" t="str">
        <f>C21</f>
        <v>Hem-Fir</v>
      </c>
      <c r="D32" t="str">
        <f>C12</f>
        <v>Hemlock</v>
      </c>
    </row>
    <row r="34" spans="2:5">
      <c r="B34" t="s">
        <v>74</v>
      </c>
      <c r="C34" t="str">
        <f t="shared" ref="C34:C35" si="2">$C$22</f>
        <v>DFL</v>
      </c>
      <c r="D34" t="str">
        <f t="shared" ref="D34:D35" si="3">C13</f>
        <v>Douglas-fir</v>
      </c>
    </row>
    <row r="35" spans="2:5">
      <c r="B35" t="s">
        <v>74</v>
      </c>
      <c r="C35" t="str">
        <f t="shared" si="2"/>
        <v>DFL</v>
      </c>
      <c r="D35" t="str">
        <f t="shared" si="3"/>
        <v>Larch</v>
      </c>
    </row>
    <row r="37" spans="2:5" s="1" customFormat="1">
      <c r="B37" s="2" t="s">
        <v>75</v>
      </c>
      <c r="C37" s="1" t="s">
        <v>1</v>
      </c>
      <c r="D37" s="1" t="s">
        <v>76</v>
      </c>
      <c r="E37" s="1" t="s">
        <v>32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4"/>
  <sheetViews>
    <sheetView workbookViewId="0">
      <selection activeCell="D3" sqref="D3"/>
    </sheetView>
  </sheetViews>
  <sheetFormatPr baseColWidth="10" defaultRowHeight="16"/>
  <cols>
    <col min="1" max="1" width="9.7109375" bestFit="1" customWidth="1"/>
    <col min="2" max="2" width="27.5703125" bestFit="1" customWidth="1"/>
    <col min="3" max="3" width="15.5703125" bestFit="1" customWidth="1"/>
    <col min="4" max="4" width="20.28515625" bestFit="1" customWidth="1"/>
    <col min="5" max="5" width="23.7109375" bestFit="1" customWidth="1"/>
    <col min="6" max="6" width="13.5703125" customWidth="1"/>
    <col min="7" max="7" width="12.7109375" customWidth="1"/>
    <col min="8" max="8" width="20.28515625" customWidth="1"/>
  </cols>
  <sheetData>
    <row r="1" spans="2:8" s="1" customFormat="1">
      <c r="B1" s="2" t="s">
        <v>77</v>
      </c>
      <c r="C1" s="2" t="s">
        <v>78</v>
      </c>
      <c r="D1" s="1" t="s">
        <v>1</v>
      </c>
      <c r="E1" s="2" t="s">
        <v>79</v>
      </c>
      <c r="F1" s="1" t="s">
        <v>80</v>
      </c>
      <c r="G1" s="1" t="s">
        <v>81</v>
      </c>
      <c r="H1" s="1" t="s">
        <v>32</v>
      </c>
    </row>
    <row r="2" spans="2:8">
      <c r="B2" t="s">
        <v>82</v>
      </c>
      <c r="C2">
        <v>1725</v>
      </c>
      <c r="D2" t="s">
        <v>83</v>
      </c>
      <c r="E2">
        <v>998</v>
      </c>
    </row>
    <row r="5" spans="2:8" s="1" customFormat="1">
      <c r="B5" s="2" t="s">
        <v>84</v>
      </c>
      <c r="C5" s="2" t="s">
        <v>1</v>
      </c>
    </row>
    <row r="6" spans="2:8">
      <c r="B6" t="s">
        <v>85</v>
      </c>
      <c r="C6" t="s">
        <v>86</v>
      </c>
    </row>
    <row r="8" spans="2:8" s="1" customFormat="1">
      <c r="B8" s="2" t="s">
        <v>87</v>
      </c>
      <c r="C8" s="2" t="s">
        <v>1</v>
      </c>
      <c r="D8" s="2" t="s">
        <v>88</v>
      </c>
      <c r="E8" s="1" t="s">
        <v>32</v>
      </c>
    </row>
    <row r="10" spans="2:8">
      <c r="B10" t="s">
        <v>89</v>
      </c>
      <c r="C10" t="s">
        <v>83</v>
      </c>
      <c r="D10" t="str">
        <f>C6</f>
        <v>Company</v>
      </c>
    </row>
    <row r="13" spans="2:8" s="1" customFormat="1">
      <c r="B13" s="2" t="s">
        <v>90</v>
      </c>
      <c r="C13" s="1" t="s">
        <v>22</v>
      </c>
      <c r="D13" s="2" t="s">
        <v>91</v>
      </c>
      <c r="E13" s="1" t="s">
        <v>92</v>
      </c>
    </row>
    <row r="14" spans="2:8">
      <c r="B14" t="s">
        <v>93</v>
      </c>
      <c r="C14" t="str">
        <f>C10</f>
        <v>CAT</v>
      </c>
      <c r="D14">
        <f>C2</f>
        <v>1725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 - Flow Network</vt:lpstr>
      <vt:lpstr>Inputs - Carbon Mass</vt:lpstr>
      <vt:lpstr>Inputs - Categorical</vt:lpstr>
      <vt:lpstr>Inputs - Spatial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cp:revision>1</cp:revision>
  <dcterms:created xsi:type="dcterms:W3CDTF">2026-01-04T10:59:27Z</dcterms:created>
  <dcterms:modified xsi:type="dcterms:W3CDTF">2026-05-15T05:30:49Z</dcterms:modified>
</cp:coreProperties>
</file>