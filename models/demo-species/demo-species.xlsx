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species/"/>
    </mc:Choice>
  </mc:AlternateContent>
  <xr:revisionPtr revIDLastSave="0" documentId="13_ncr:1_{96355D77-A691-254A-BEC0-1D45BEB6D9A2}" xr6:coauthVersionLast="47" xr6:coauthVersionMax="47" xr10:uidLastSave="{00000000-0000-0000-0000-000000000000}"/>
  <bookViews>
    <workbookView xWindow="25600" yWindow="600" windowWidth="25600" windowHeight="26900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" i="1" l="1"/>
  <c r="I66" i="1"/>
  <c r="I67" i="1"/>
  <c r="I60" i="1"/>
  <c r="I61" i="1"/>
  <c r="I62" i="1"/>
  <c r="I55" i="1"/>
  <c r="I56" i="1"/>
  <c r="I57" i="1"/>
  <c r="I64" i="1"/>
  <c r="I59" i="1"/>
  <c r="I54" i="1"/>
  <c r="I50" i="1"/>
  <c r="I51" i="1"/>
  <c r="I52" i="1"/>
  <c r="I49" i="1"/>
  <c r="G57" i="1"/>
  <c r="D57" i="1"/>
  <c r="C57" i="1"/>
  <c r="G56" i="1"/>
  <c r="D56" i="1"/>
  <c r="C56" i="1"/>
  <c r="G55" i="1"/>
  <c r="D55" i="1"/>
  <c r="C55" i="1"/>
  <c r="G54" i="1"/>
  <c r="D54" i="1"/>
  <c r="C54" i="1"/>
  <c r="G52" i="1"/>
  <c r="G51" i="1"/>
  <c r="G50" i="1"/>
  <c r="G49" i="1"/>
  <c r="G62" i="1"/>
  <c r="G61" i="1"/>
  <c r="G60" i="1"/>
  <c r="G59" i="1"/>
  <c r="D52" i="1"/>
  <c r="D51" i="1"/>
  <c r="D50" i="1"/>
  <c r="D49" i="1"/>
  <c r="D62" i="1"/>
  <c r="D61" i="1"/>
  <c r="D60" i="1"/>
  <c r="D59" i="1"/>
  <c r="D2" i="2"/>
  <c r="D3" i="2"/>
  <c r="D4" i="2"/>
  <c r="D5" i="2"/>
  <c r="G65" i="1" l="1"/>
  <c r="G66" i="1"/>
  <c r="G67" i="1"/>
  <c r="G64" i="1"/>
  <c r="D65" i="1"/>
  <c r="D66" i="1"/>
  <c r="D67" i="1"/>
  <c r="D64" i="1"/>
  <c r="D45" i="1"/>
  <c r="D44" i="1"/>
  <c r="D43" i="1"/>
  <c r="D16" i="1"/>
  <c r="D15" i="1"/>
  <c r="D14" i="1"/>
  <c r="E45" i="1" l="1"/>
  <c r="C45" i="1"/>
  <c r="C74" i="1" s="1"/>
  <c r="C44" i="1"/>
  <c r="G70" i="1"/>
  <c r="G71" i="1"/>
  <c r="G72" i="1"/>
  <c r="G69" i="1"/>
  <c r="E16" i="1"/>
  <c r="C16" i="1"/>
  <c r="C38" i="1" s="1"/>
  <c r="D69" i="1"/>
  <c r="D70" i="1"/>
  <c r="D71" i="1"/>
  <c r="D72" i="1"/>
  <c r="E43" i="1"/>
  <c r="E44" i="1"/>
  <c r="C43" i="1"/>
  <c r="E14" i="1"/>
  <c r="C15" i="1"/>
  <c r="C10" i="1"/>
  <c r="D39" i="1" s="1"/>
  <c r="C8" i="1"/>
  <c r="D31" i="1" s="1"/>
  <c r="C6" i="1"/>
  <c r="D30" i="1" s="1"/>
  <c r="C5" i="1"/>
  <c r="D29" i="1" s="1"/>
  <c r="C4" i="1"/>
  <c r="D28" i="1" s="1"/>
  <c r="C3" i="1"/>
  <c r="C14" i="1"/>
  <c r="C28" i="1" s="1"/>
  <c r="D8" i="1"/>
  <c r="D3" i="1"/>
  <c r="E15" i="1"/>
  <c r="D10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C52" i="1" l="1"/>
  <c r="C51" i="1"/>
  <c r="C50" i="1"/>
  <c r="C49" i="1"/>
  <c r="C3" i="2"/>
  <c r="C4" i="2"/>
  <c r="C5" i="2"/>
  <c r="C67" i="1"/>
  <c r="C64" i="1"/>
  <c r="C65" i="1"/>
  <c r="C66" i="1"/>
  <c r="D27" i="1"/>
  <c r="C2" i="2"/>
  <c r="C62" i="1"/>
  <c r="C60" i="1"/>
  <c r="C61" i="1"/>
  <c r="C59" i="1"/>
  <c r="C39" i="1"/>
  <c r="C70" i="1"/>
  <c r="D38" i="1"/>
  <c r="C71" i="1"/>
  <c r="C69" i="1"/>
  <c r="C72" i="1"/>
  <c r="C31" i="1"/>
  <c r="C27" i="1"/>
  <c r="C30" i="1"/>
  <c r="C29" i="1"/>
  <c r="D36" i="1" l="1"/>
  <c r="D35" i="1"/>
  <c r="D34" i="1"/>
  <c r="D33" i="1"/>
  <c r="C36" i="1" a="1"/>
  <c r="C36" i="1" s="1"/>
  <c r="C35" i="1" a="1"/>
  <c r="C35" i="1" s="1"/>
  <c r="C34" i="1" a="1"/>
  <c r="C34" i="1" s="1"/>
  <c r="C33" i="1" a="1"/>
  <c r="C33" i="1" s="1"/>
  <c r="C76" i="1" l="1" a="1"/>
  <c r="C7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2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2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2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2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2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5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5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5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4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4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4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4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4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4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26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<sst xmlns="http://schemas.openxmlformats.org/spreadsheetml/2006/main" count="510" uniqueCount="124">
  <si>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</si>
  <si>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</si>
  <si>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</si>
  <si>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</si>
  <si>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</si>
  <si>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</si>
  <si>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</si>
  <si>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</si>
  <si>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</si>
  <si>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</si>
  <si>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</si>
  <si>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</si>
  <si>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</si>
  <si>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</si>
  <si>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</si>
  <si>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</si>
  <si>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</si>
  <si>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</si>
  <si>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</si>
  <si>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</si>
  <si>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</si>
  <si>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</si>
  <si>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</si>
  <si>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</si>
  <si>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</si>
  <si>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</si>
  <si>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</si>
  <si>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</si>
  <si>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</si>
  <si>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</si>
  <si>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</si>
  <si>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</si>
  <si>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</si>
  <si>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</si>
  <si>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</si>
  <si>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</si>
  <si>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</si>
  <si>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</si>
  <si>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</si>
  <si>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</si>
  <si>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</si>
  <si>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</si>
  <si>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</si>
  <si>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</si>
  <si>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</si>
  <si>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</si>
  <si>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</si>
  <si>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</si>
  <si>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</si>
  <si>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</si>
  <si>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</si>
  <si>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</si>
  <si>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</si>
  <si>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</si>
  <si>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</si>
  <si>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</si>
  <si>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</si>
  <si>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</si>
  <si>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</si>
  <si>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</si>
  <si>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</si>
  <si>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</si>
  <si>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</si>
  <si>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</si>
  <si>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</si>
  <si>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</si>
  <si>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</si>
  <si>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</si>
  <si>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</si>
  <si>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</si>
  <si>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</si>
  <si>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</si>
  <si>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</si>
  <si>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</si>
  <si>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</si>
  <si>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</si>
  <si>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</si>
  <si>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</si>
  <si>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</si>
  <si>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</si>
  <si>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</si>
  <si>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</si>
  <si>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</si>
  <si>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</si>
  <si>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</si>
  <si>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</si>
  <si>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</si>
  <si>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</si>
  <si>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</si>
  <si>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</si>
  <si>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</si>
  <si>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</si>
  <si>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</si>
  <si>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</si>
  <si>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</si>
  <si>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</si>
  <si>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</si>
  <si>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</si>
  <si>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</si>
  <si>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</si>
  <si>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</si>
  <si>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</si>
  <si>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</si>
  <si>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</si>
  <si>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</si>
  <si>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</si>
  <si>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</si>
  <si>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Xie, 2015</t>
  </si>
  <si>
    <t>Roundwood</t>
  </si>
  <si>
    <t>Sawnwood</t>
  </si>
  <si>
    <t>Panels</t>
  </si>
  <si>
    <t>Paper</t>
  </si>
  <si>
    <t>SPECIES</t>
  </si>
  <si>
    <t>Bioenergy</t>
  </si>
  <si>
    <t>ACTION_TYPE</t>
  </si>
  <si>
    <t>Manufacturing</t>
  </si>
  <si>
    <t>Landfilling</t>
  </si>
  <si>
    <t>Combusting</t>
  </si>
  <si>
    <t>Company</t>
  </si>
  <si>
    <t>CAT</t>
  </si>
  <si>
    <t>SPF</t>
  </si>
  <si>
    <t>Aspen</t>
  </si>
  <si>
    <t>DFL</t>
  </si>
  <si>
    <t>Hem-Fir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</si>
</sst>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76"/>
  <sheetViews>
    <sheetView tabSelected="1" topLeftCell="A14" workbookViewId="0">
      <selection activeCell="F62" sqref="F62"/>
    </sheetView>
  </sheetViews>
  <sheetFormatPr baseColWidth="10" defaultColWidth="7.5703125" defaultRowHeight="16" customHeight="1"/>
  <cols>
    <col min="1" max="1" width="10.140625" customWidth="1"/>
    <col min="2" max="2" width="24.140625" customWidth="1"/>
    <col min="3" max="3" width="25.28515625" customWidth="1"/>
    <col min="4" max="4" width="17.85546875" customWidth="1"/>
    <col min="5" max="5" width="12.85546875" customWidth="1"/>
    <col min="6" max="6" width="12.42578125" customWidth="1"/>
    <col min="7" max="7" width="21" customWidth="1"/>
    <col min="8" max="8" width="13.8554687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tr">
        <f>"Roundwood, "&amp;'Inputs - Spatial'!$C$10</f>
        <v>Roundwood, CAT</v>
      </c>
      <c r="D3">
        <f>'Inputs - Spatial'!$C$2</f>
        <v>1725</v>
      </c>
    </row>
    <row r="4" spans="2:12" ht="16" customHeight="1">
      <c r="B4" t="s">
        <v>11</v>
      </c>
      <c r="C4" t="str">
        <f>"Sawnwood, "&amp;'Inputs - Spatial'!$C$10</f>
        <v>Sawnwood, CAT</v>
      </c>
      <c r="D4">
        <f>'Inputs - Spatial'!$C$2</f>
        <v>1725</v>
      </c>
      <c r="E4" t="s">
        <v>54</v>
      </c>
    </row>
    <row r="5" spans="2:12" ht="16" customHeight="1">
      <c r="B5" t="s">
        <v>11</v>
      </c>
      <c r="C5" t="str">
        <f>"Panels, "&amp;'Inputs - Spatial'!$C$10</f>
        <v>Panels, CAT</v>
      </c>
      <c r="D5">
        <f>'Inputs - Spatial'!$C$2</f>
        <v>1725</v>
      </c>
      <c r="E5" t="s">
        <v>55</v>
      </c>
    </row>
    <row r="6" spans="2:12" ht="16" customHeight="1">
      <c r="B6" t="s">
        <v>11</v>
      </c>
      <c r="C6" t="str">
        <f>"Paper, "&amp;'Inputs - Spatial'!$C$10</f>
        <v>Paper, CAT</v>
      </c>
      <c r="D6">
        <f>'Inputs - Spatial'!$C$2</f>
        <v>1725</v>
      </c>
      <c r="E6" t="s">
        <v>53</v>
      </c>
    </row>
    <row r="8" spans="2:12" ht="16" customHeight="1">
      <c r="B8" t="s">
        <v>11</v>
      </c>
      <c r="C8" s="4" t="str">
        <f>"Bioenergy, "&amp;'Inputs - Spatial'!$C$10</f>
        <v>Bioenergy, CAT</v>
      </c>
      <c r="D8">
        <f>'Inputs - Spatial'!$C$2</f>
        <v>1725</v>
      </c>
    </row>
    <row r="10" spans="2:12" ht="16" customHeight="1">
      <c r="B10" t="s">
        <v>11</v>
      </c>
      <c r="C10" t="str">
        <f>"CO2, "&amp;'Inputs - Spatial'!$C$10</f>
        <v>CO2, CAT</v>
      </c>
      <c r="D10">
        <f>'Inputs - Spatial'!$C$2</f>
        <v>1725</v>
      </c>
    </row>
    <row r="12" spans="2:12" s="3" customFormat="1" ht="16" customHeight="1">
      <c r="B12" s="2" t="s">
        <v>12</v>
      </c>
      <c r="C12" s="2" t="s">
        <v>1</v>
      </c>
      <c r="D12" s="2" t="s">
        <v>13</v>
      </c>
      <c r="E12" s="2" t="s">
        <v>2</v>
      </c>
      <c r="F12" s="3" t="s">
        <v>14</v>
      </c>
      <c r="G12" s="3" t="s">
        <v>15</v>
      </c>
      <c r="H12" s="3" t="s">
        <v>16</v>
      </c>
      <c r="I12" s="3" t="s">
        <v>17</v>
      </c>
      <c r="J12" s="3" t="s">
        <v>18</v>
      </c>
      <c r="K12" s="3" t="s">
        <v>19</v>
      </c>
      <c r="L12" s="3" t="s">
        <v>10</v>
      </c>
    </row>
    <row r="14" spans="2:12" ht="16" customHeight="1">
      <c r="B14" t="s">
        <v>20</v>
      </c>
      <c r="C14" t="str">
        <f>"Manufacturing, "&amp;'Inputs - Spatial'!C10</f>
        <v>Manufacturing, CAT</v>
      </c>
      <c r="D14" t="str">
        <f>C20</f>
        <v>Manufacturing</v>
      </c>
      <c r="E14">
        <f>'Inputs - Spatial'!$C$2</f>
        <v>1725</v>
      </c>
    </row>
    <row r="15" spans="2:12" ht="16" customHeight="1">
      <c r="B15" t="s">
        <v>20</v>
      </c>
      <c r="C15" t="str">
        <f>"Landfilling, "&amp;'Inputs - Spatial'!$C$10</f>
        <v>Landfilling, CAT</v>
      </c>
      <c r="D15" t="str">
        <f>C21</f>
        <v>Landfilling</v>
      </c>
      <c r="E15">
        <f>'Inputs - Spatial'!$C$2</f>
        <v>1725</v>
      </c>
    </row>
    <row r="16" spans="2:12" ht="16" customHeight="1">
      <c r="B16" t="s">
        <v>20</v>
      </c>
      <c r="C16" t="str">
        <f>"Combusting, "&amp;'Inputs - Spatial'!$C$10</f>
        <v>Combusting, CAT</v>
      </c>
      <c r="D16" t="str">
        <f>C22</f>
        <v>Combusting</v>
      </c>
      <c r="E16">
        <f>'Inputs - Spatial'!$C$2</f>
        <v>1725</v>
      </c>
    </row>
    <row r="18" spans="2:7" s="3" customFormat="1" ht="16" customHeight="1">
      <c r="B18" s="2" t="s">
        <v>21</v>
      </c>
      <c r="C18" s="2" t="s">
        <v>22</v>
      </c>
    </row>
    <row r="20" spans="2:7" ht="16" customHeight="1">
      <c r="B20" t="s">
        <v>114</v>
      </c>
      <c r="C20" t="s">
        <v>115</v>
      </c>
    </row>
    <row r="21" spans="2:7" ht="16" customHeight="1">
      <c r="B21" t="s">
        <v>114</v>
      </c>
      <c r="C21" t="s">
        <v>116</v>
      </c>
    </row>
    <row r="22" spans="2:7" ht="16" customHeight="1">
      <c r="B22" t="s">
        <v>114</v>
      </c>
      <c r="C22" t="s">
        <v>117</v>
      </c>
    </row>
    <row r="25" spans="2:7" s="3" customFormat="1" ht="16" customHeight="1">
      <c r="B25" s="2" t="s">
        <v>23</v>
      </c>
      <c r="C25" s="2" t="s">
        <v>24</v>
      </c>
      <c r="D25" s="2" t="s">
        <v>25</v>
      </c>
      <c r="E25" s="2" t="s">
        <v>26</v>
      </c>
      <c r="F25" s="2" t="s">
        <v>27</v>
      </c>
      <c r="G25" s="3" t="s">
        <v>28</v>
      </c>
    </row>
    <row r="27" spans="2:7" ht="16" customHeight="1">
      <c r="B27" t="s">
        <v>29</v>
      </c>
      <c r="C27" t="str">
        <f>$C$14</f>
        <v>Manufacturing, CAT</v>
      </c>
      <c r="D27" t="str">
        <f>C3</f>
        <v>Roundwood, CAT</v>
      </c>
      <c r="E27" t="b">
        <v>1</v>
      </c>
      <c r="F27">
        <v>1</v>
      </c>
    </row>
    <row r="28" spans="2:7" ht="16" customHeight="1">
      <c r="B28" t="s">
        <v>29</v>
      </c>
      <c r="C28" t="str">
        <f t="shared" ref="C28:C31" si="0">$C$14</f>
        <v>Manufacturing, CAT</v>
      </c>
      <c r="D28" t="str">
        <f>C4</f>
        <v>Sawnwood, CAT</v>
      </c>
      <c r="E28" t="b">
        <v>0</v>
      </c>
      <c r="F28">
        <v>1</v>
      </c>
    </row>
    <row r="29" spans="2:7" ht="16" customHeight="1">
      <c r="B29" t="s">
        <v>29</v>
      </c>
      <c r="C29" t="str">
        <f t="shared" si="0"/>
        <v>Manufacturing, CAT</v>
      </c>
      <c r="D29" t="str">
        <f>C5</f>
        <v>Panels, CAT</v>
      </c>
      <c r="E29" t="b">
        <v>0</v>
      </c>
      <c r="F29">
        <v>2</v>
      </c>
    </row>
    <row r="30" spans="2:7" ht="16" customHeight="1">
      <c r="B30" t="s">
        <v>29</v>
      </c>
      <c r="C30" t="str">
        <f t="shared" si="0"/>
        <v>Manufacturing, CAT</v>
      </c>
      <c r="D30" t="str">
        <f>C6</f>
        <v>Paper, CAT</v>
      </c>
      <c r="E30" t="b">
        <v>0</v>
      </c>
      <c r="F30">
        <v>3</v>
      </c>
    </row>
    <row r="31" spans="2:7" ht="16" customHeight="1">
      <c r="B31" t="s">
        <v>29</v>
      </c>
      <c r="C31" t="str">
        <f t="shared" si="0"/>
        <v>Manufacturing, CAT</v>
      </c>
      <c r="D31" t="str">
        <f>C8</f>
        <v>Bioenergy, CAT</v>
      </c>
      <c r="E31" t="b">
        <v>0</v>
      </c>
      <c r="F31">
        <v>4</v>
      </c>
    </row>
    <row r="33" spans="2:10" ht="16" customHeight="1">
      <c r="B33" t="s">
        <v>29</v>
      </c>
      <c r="C33" t="str" cm="1">
        <f t="array" ref="C33">$C$15</f>
        <v>Landfilling, CAT</v>
      </c>
      <c r="D33" t="str">
        <f>C4</f>
        <v>Sawnwood, CAT</v>
      </c>
      <c r="E33" t="b">
        <v>1</v>
      </c>
      <c r="F33">
        <v>1</v>
      </c>
    </row>
    <row r="34" spans="2:10" ht="16" customHeight="1">
      <c r="B34" t="s">
        <v>29</v>
      </c>
      <c r="C34" t="str" cm="1">
        <f t="array" ref="C34">$C$15</f>
        <v>Landfilling, CAT</v>
      </c>
      <c r="D34" t="str">
        <f>C5</f>
        <v>Panels, CAT</v>
      </c>
      <c r="E34" t="b">
        <v>1</v>
      </c>
      <c r="F34">
        <v>2</v>
      </c>
    </row>
    <row r="35" spans="2:10" ht="16" customHeight="1">
      <c r="B35" t="s">
        <v>29</v>
      </c>
      <c r="C35" t="str" cm="1">
        <f t="array" ref="C35">$C$15</f>
        <v>Landfilling, CAT</v>
      </c>
      <c r="D35" t="str">
        <f>C6</f>
        <v>Paper, CAT</v>
      </c>
      <c r="E35" t="b">
        <v>1</v>
      </c>
      <c r="F35">
        <v>3</v>
      </c>
    </row>
    <row r="36" spans="2:10" ht="16" customHeight="1">
      <c r="B36" t="s">
        <v>29</v>
      </c>
      <c r="C36" t="str" cm="1">
        <f t="array" ref="C36">$C$15</f>
        <v>Landfilling, CAT</v>
      </c>
      <c r="D36" t="str">
        <f>C10</f>
        <v>CO2, CAT</v>
      </c>
      <c r="E36" t="b">
        <v>0</v>
      </c>
      <c r="F36">
        <v>1</v>
      </c>
    </row>
    <row r="38" spans="2:10" ht="16" customHeight="1">
      <c r="B38" t="s">
        <v>29</v>
      </c>
      <c r="C38" t="str">
        <f>$C$16</f>
        <v>Combusting, CAT</v>
      </c>
      <c r="D38" t="str">
        <f>C8</f>
        <v>Bioenergy, CAT</v>
      </c>
      <c r="E38" t="b">
        <v>1</v>
      </c>
      <c r="F38">
        <v>1</v>
      </c>
    </row>
    <row r="39" spans="2:10" ht="16" customHeight="1">
      <c r="B39" t="s">
        <v>29</v>
      </c>
      <c r="C39" t="str">
        <f>$C$16</f>
        <v>Combusting, CAT</v>
      </c>
      <c r="D39" t="str">
        <f>C10</f>
        <v>CO2, CAT</v>
      </c>
      <c r="E39" t="b">
        <v>0</v>
      </c>
      <c r="F39">
        <v>1</v>
      </c>
    </row>
    <row r="41" spans="2:10" s="3" customFormat="1" ht="16" customHeight="1">
      <c r="B41" s="2" t="s">
        <v>30</v>
      </c>
      <c r="C41" s="2" t="s">
        <v>1</v>
      </c>
      <c r="D41" s="2" t="s">
        <v>31</v>
      </c>
      <c r="E41" s="2" t="s">
        <v>19</v>
      </c>
      <c r="F41" s="3" t="s">
        <v>32</v>
      </c>
      <c r="G41" s="3" t="s">
        <v>33</v>
      </c>
      <c r="H41" s="3" t="s">
        <v>34</v>
      </c>
    </row>
    <row r="43" spans="2:10" ht="16" customHeight="1">
      <c r="B43" t="s">
        <v>35</v>
      </c>
      <c r="C43" t="str">
        <f>"Commodity Demand, "&amp;'Inputs - Spatial'!$C$10</f>
        <v>Commodity Demand, CAT</v>
      </c>
      <c r="D43" t="str">
        <f>C20</f>
        <v>Manufacturing</v>
      </c>
      <c r="E43" t="str">
        <f>'Inputs - Spatial'!$C$10</f>
        <v>CAT</v>
      </c>
    </row>
    <row r="44" spans="2:10" ht="16" customHeight="1">
      <c r="B44" t="s">
        <v>35</v>
      </c>
      <c r="C44" t="str">
        <f>"Landfill Parameters, "&amp;'Inputs - Spatial'!$C$10</f>
        <v>Landfill Parameters, CAT</v>
      </c>
      <c r="D44" t="str">
        <f>C21</f>
        <v>Landfilling</v>
      </c>
      <c r="E44" t="str">
        <f>'Inputs - Spatial'!$C$10</f>
        <v>CAT</v>
      </c>
    </row>
    <row r="45" spans="2:10" ht="16" customHeight="1">
      <c r="B45" t="s">
        <v>35</v>
      </c>
      <c r="C45" t="str">
        <f>"Combustion Parameters, "&amp;'Inputs - Spatial'!$C$10</f>
        <v>Combustion Parameters, CAT</v>
      </c>
      <c r="D45" t="str">
        <f>C22</f>
        <v>Combusting</v>
      </c>
      <c r="E45" t="str">
        <f>'Inputs - Spatial'!$C$10</f>
        <v>CAT</v>
      </c>
    </row>
    <row r="47" spans="2:10" s="3" customFormat="1" ht="16" customHeight="1">
      <c r="B47" s="2" t="s">
        <v>37</v>
      </c>
      <c r="C47" s="2" t="s">
        <v>38</v>
      </c>
      <c r="D47" s="2" t="s">
        <v>27</v>
      </c>
      <c r="E47" s="2" t="s">
        <v>39</v>
      </c>
      <c r="F47" s="3" t="s">
        <v>40</v>
      </c>
      <c r="G47" s="3" t="s">
        <v>41</v>
      </c>
      <c r="H47" s="3" t="s">
        <v>42</v>
      </c>
      <c r="I47" s="3" t="s">
        <v>43</v>
      </c>
      <c r="J47" s="3" t="s">
        <v>44</v>
      </c>
    </row>
    <row r="49" spans="2:9" ht="16" customHeight="1">
      <c r="B49" t="s">
        <v>45</v>
      </c>
      <c r="C49" t="str">
        <f>$C$43</f>
        <v>Commodity Demand, CAT</v>
      </c>
      <c r="D49">
        <f>$F$28</f>
        <v>1</v>
      </c>
      <c r="E49">
        <v>0.4</v>
      </c>
      <c r="G49" t="str">
        <f>'Inputs - Categorical'!$C$4</f>
        <v>Sawnwood</v>
      </c>
      <c r="I49" t="str">
        <f>'Inputs - Categorical'!$C$15</f>
        <v>SPF</v>
      </c>
    </row>
    <row r="50" spans="2:9" ht="16" customHeight="1">
      <c r="B50" t="s">
        <v>45</v>
      </c>
      <c r="C50" t="str">
        <f t="shared" ref="C50:C52" si="1">$C$43</f>
        <v>Commodity Demand, CAT</v>
      </c>
      <c r="D50">
        <f>$F$29</f>
        <v>2</v>
      </c>
      <c r="E50">
        <v>0</v>
      </c>
      <c r="G50" t="str">
        <f>'Inputs - Categorical'!$C$5</f>
        <v>Panels</v>
      </c>
      <c r="I50" t="str">
        <f>'Inputs - Categorical'!$C$15</f>
        <v>SPF</v>
      </c>
    </row>
    <row r="51" spans="2:9" ht="16" customHeight="1">
      <c r="B51" t="s">
        <v>45</v>
      </c>
      <c r="C51" t="str">
        <f t="shared" si="1"/>
        <v>Commodity Demand, CAT</v>
      </c>
      <c r="D51">
        <f>$F$30</f>
        <v>3</v>
      </c>
      <c r="E51">
        <v>0.25</v>
      </c>
      <c r="G51" t="str">
        <f>'Inputs - Categorical'!$C$6</f>
        <v>Paper</v>
      </c>
      <c r="I51" t="str">
        <f>'Inputs - Categorical'!$C$15</f>
        <v>SPF</v>
      </c>
    </row>
    <row r="52" spans="2:9" ht="16" customHeight="1">
      <c r="B52" t="s">
        <v>45</v>
      </c>
      <c r="C52" t="str">
        <f t="shared" si="1"/>
        <v>Commodity Demand, CAT</v>
      </c>
      <c r="D52">
        <f>$F$31</f>
        <v>4</v>
      </c>
      <c r="E52">
        <v>0.35</v>
      </c>
      <c r="G52" t="str">
        <f>'Inputs - Categorical'!$C$7</f>
        <v>Bioenergy</v>
      </c>
      <c r="I52" t="str">
        <f>'Inputs - Categorical'!$C$15</f>
        <v>SPF</v>
      </c>
    </row>
    <row r="54" spans="2:9" ht="16" customHeight="1">
      <c r="B54" t="s">
        <v>45</v>
      </c>
      <c r="C54" t="str">
        <f>$C$43</f>
        <v>Commodity Demand, CAT</v>
      </c>
      <c r="D54">
        <f>$F$28</f>
        <v>1</v>
      </c>
      <c r="E54">
        <v>0</v>
      </c>
      <c r="G54" t="str">
        <f>'Inputs - Categorical'!$C$4</f>
        <v>Sawnwood</v>
      </c>
      <c r="I54" t="str">
        <f>'Inputs - Categorical'!$C$16</f>
        <v>Aspen</v>
      </c>
    </row>
    <row r="55" spans="2:9" ht="16" customHeight="1">
      <c r="B55" t="s">
        <v>45</v>
      </c>
      <c r="C55" t="str">
        <f t="shared" ref="C55:C57" si="2">$C$43</f>
        <v>Commodity Demand, CAT</v>
      </c>
      <c r="D55">
        <f>$F$29</f>
        <v>2</v>
      </c>
      <c r="E55">
        <v>0.4</v>
      </c>
      <c r="G55" t="str">
        <f>'Inputs - Categorical'!$C$5</f>
        <v>Panels</v>
      </c>
      <c r="I55" t="str">
        <f>'Inputs - Categorical'!$C$16</f>
        <v>Aspen</v>
      </c>
    </row>
    <row r="56" spans="2:9" ht="16" customHeight="1">
      <c r="B56" t="s">
        <v>45</v>
      </c>
      <c r="C56" t="str">
        <f t="shared" si="2"/>
        <v>Commodity Demand, CAT</v>
      </c>
      <c r="D56">
        <f>$F$30</f>
        <v>3</v>
      </c>
      <c r="E56">
        <v>0.25</v>
      </c>
      <c r="G56" t="str">
        <f>'Inputs - Categorical'!$C$6</f>
        <v>Paper</v>
      </c>
      <c r="I56" t="str">
        <f>'Inputs - Categorical'!$C$16</f>
        <v>Aspen</v>
      </c>
    </row>
    <row r="57" spans="2:9" ht="16" customHeight="1">
      <c r="B57" t="s">
        <v>45</v>
      </c>
      <c r="C57" t="str">
        <f t="shared" si="2"/>
        <v>Commodity Demand, CAT</v>
      </c>
      <c r="D57">
        <f>$F$31</f>
        <v>4</v>
      </c>
      <c r="E57">
        <v>0.35</v>
      </c>
      <c r="G57" t="str">
        <f>'Inputs - Categorical'!$C$7</f>
        <v>Bioenergy</v>
      </c>
      <c r="I57" t="str">
        <f>'Inputs - Categorical'!$C$16</f>
        <v>Aspen</v>
      </c>
    </row>
    <row r="59" spans="2:9" ht="16" customHeight="1">
      <c r="B59" t="s">
        <v>45</v>
      </c>
      <c r="C59" t="str">
        <f>$C$43</f>
        <v>Commodity Demand, CAT</v>
      </c>
      <c r="D59">
        <f>$F$28</f>
        <v>1</v>
      </c>
      <c r="E59">
        <v>0.35</v>
      </c>
      <c r="G59" t="str">
        <f>'Inputs - Categorical'!$C$4</f>
        <v>Sawnwood</v>
      </c>
      <c r="I59" t="str">
        <f>'Inputs - Categorical'!$C$17</f>
        <v>Hem-Fir</v>
      </c>
    </row>
    <row r="60" spans="2:9" ht="16" customHeight="1">
      <c r="B60" t="s">
        <v>45</v>
      </c>
      <c r="C60" t="str">
        <f t="shared" ref="C60:C62" si="3">$C$43</f>
        <v>Commodity Demand, CAT</v>
      </c>
      <c r="D60">
        <f>$F$29</f>
        <v>2</v>
      </c>
      <c r="E60">
        <v>0</v>
      </c>
      <c r="G60" t="str">
        <f>'Inputs - Categorical'!$C$5</f>
        <v>Panels</v>
      </c>
      <c r="I60" t="str">
        <f>'Inputs - Categorical'!$C$17</f>
        <v>Hem-Fir</v>
      </c>
    </row>
    <row r="61" spans="2:9" ht="16" customHeight="1">
      <c r="B61" t="s">
        <v>45</v>
      </c>
      <c r="C61" t="str">
        <f t="shared" si="3"/>
        <v>Commodity Demand, CAT</v>
      </c>
      <c r="D61">
        <f>$F$30</f>
        <v>3</v>
      </c>
      <c r="E61">
        <v>0.25</v>
      </c>
      <c r="G61" t="str">
        <f>'Inputs - Categorical'!$C$6</f>
        <v>Paper</v>
      </c>
      <c r="I61" t="str">
        <f>'Inputs - Categorical'!$C$17</f>
        <v>Hem-Fir</v>
      </c>
    </row>
    <row r="62" spans="2:9" ht="16" customHeight="1">
      <c r="B62" t="s">
        <v>45</v>
      </c>
      <c r="C62" t="str">
        <f t="shared" si="3"/>
        <v>Commodity Demand, CAT</v>
      </c>
      <c r="D62">
        <f>$F$31</f>
        <v>4</v>
      </c>
      <c r="E62">
        <v>0.4</v>
      </c>
      <c r="G62" t="str">
        <f>'Inputs - Categorical'!$C$7</f>
        <v>Bioenergy</v>
      </c>
      <c r="I62" t="str">
        <f>'Inputs - Categorical'!$C$17</f>
        <v>Hem-Fir</v>
      </c>
    </row>
    <row r="64" spans="2:9" ht="16" customHeight="1">
      <c r="B64" t="s">
        <v>45</v>
      </c>
      <c r="C64" t="str">
        <f>$C$43</f>
        <v>Commodity Demand, CAT</v>
      </c>
      <c r="D64">
        <f>F28</f>
        <v>1</v>
      </c>
      <c r="E64">
        <v>0.45</v>
      </c>
      <c r="G64" t="str">
        <f>'Inputs - Categorical'!C4</f>
        <v>Sawnwood</v>
      </c>
      <c r="I64" t="str">
        <f>'Inputs - Categorical'!$C$18</f>
        <v>DFL</v>
      </c>
    </row>
    <row r="65" spans="2:9" ht="16" customHeight="1">
      <c r="B65" t="s">
        <v>45</v>
      </c>
      <c r="C65" t="str">
        <f t="shared" ref="C65:C67" si="4">$C$43</f>
        <v>Commodity Demand, CAT</v>
      </c>
      <c r="D65">
        <f t="shared" ref="D65:D67" si="5">F29</f>
        <v>2</v>
      </c>
      <c r="E65">
        <v>0.15</v>
      </c>
      <c r="G65" t="str">
        <f>'Inputs - Categorical'!C5</f>
        <v>Panels</v>
      </c>
      <c r="I65" t="str">
        <f>'Inputs - Categorical'!$C$18</f>
        <v>DFL</v>
      </c>
    </row>
    <row r="66" spans="2:9" ht="16" customHeight="1">
      <c r="B66" t="s">
        <v>45</v>
      </c>
      <c r="C66" t="str">
        <f t="shared" si="4"/>
        <v>Commodity Demand, CAT</v>
      </c>
      <c r="D66">
        <f t="shared" si="5"/>
        <v>3</v>
      </c>
      <c r="E66">
        <v>0.15</v>
      </c>
      <c r="G66" t="str">
        <f>'Inputs - Categorical'!C6</f>
        <v>Paper</v>
      </c>
      <c r="I66" t="str">
        <f>'Inputs - Categorical'!$C$18</f>
        <v>DFL</v>
      </c>
    </row>
    <row r="67" spans="2:9" ht="16" customHeight="1">
      <c r="B67" t="s">
        <v>45</v>
      </c>
      <c r="C67" t="str">
        <f t="shared" si="4"/>
        <v>Commodity Demand, CAT</v>
      </c>
      <c r="D67">
        <f t="shared" si="5"/>
        <v>4</v>
      </c>
      <c r="E67">
        <v>0.25</v>
      </c>
      <c r="G67" t="str">
        <f>'Inputs - Categorical'!C7</f>
        <v>Bioenergy</v>
      </c>
      <c r="I67" t="str">
        <f>'Inputs - Categorical'!$C$18</f>
        <v>DFL</v>
      </c>
    </row>
    <row r="69" spans="2:9" ht="16" customHeight="1">
      <c r="B69" t="s">
        <v>45</v>
      </c>
      <c r="C69" t="str">
        <f>$C$43</f>
        <v>Commodity Demand, CAT</v>
      </c>
      <c r="D69">
        <f t="shared" ref="D69:D72" si="6">F28</f>
        <v>1</v>
      </c>
      <c r="E69">
        <v>0</v>
      </c>
      <c r="G69" t="str">
        <f>'Inputs - Categorical'!C4</f>
        <v>Sawnwood</v>
      </c>
    </row>
    <row r="70" spans="2:9" ht="16" customHeight="1">
      <c r="B70" t="s">
        <v>45</v>
      </c>
      <c r="C70" t="str">
        <f t="shared" ref="C70:C72" si="7">$C$43</f>
        <v>Commodity Demand, CAT</v>
      </c>
      <c r="D70">
        <f t="shared" si="6"/>
        <v>2</v>
      </c>
      <c r="E70">
        <v>0</v>
      </c>
      <c r="G70" t="str">
        <f>'Inputs - Categorical'!C5</f>
        <v>Panels</v>
      </c>
    </row>
    <row r="71" spans="2:9" ht="16" customHeight="1">
      <c r="B71" t="s">
        <v>45</v>
      </c>
      <c r="C71" t="str">
        <f t="shared" si="7"/>
        <v>Commodity Demand, CAT</v>
      </c>
      <c r="D71">
        <f t="shared" si="6"/>
        <v>3</v>
      </c>
      <c r="E71">
        <v>0</v>
      </c>
      <c r="G71" t="str">
        <f>'Inputs - Categorical'!C6</f>
        <v>Paper</v>
      </c>
    </row>
    <row r="72" spans="2:9" ht="16" customHeight="1">
      <c r="B72" t="s">
        <v>45</v>
      </c>
      <c r="C72" t="str">
        <f t="shared" si="7"/>
        <v>Commodity Demand, CAT</v>
      </c>
      <c r="D72">
        <f t="shared" si="6"/>
        <v>4</v>
      </c>
      <c r="E72">
        <v>1</v>
      </c>
      <c r="G72" t="str">
        <f>'Inputs - Categorical'!C7</f>
        <v>Bioenergy</v>
      </c>
    </row>
    <row r="74" spans="2:9" ht="16" customHeight="1">
      <c r="B74" t="s">
        <v>45</v>
      </c>
      <c r="C74" t="str">
        <f>C45</f>
        <v>Combustion Parameters, CAT</v>
      </c>
      <c r="D74">
        <v>1</v>
      </c>
      <c r="E74">
        <v>1</v>
      </c>
    </row>
    <row r="76" spans="2:9" ht="16" customHeight="1">
      <c r="B76" t="s">
        <v>45</v>
      </c>
      <c r="C76" t="str" cm="1">
        <f t="array" ref="C76">C44</f>
        <v>Landfill Parameters, CAT</v>
      </c>
      <c r="D76">
        <v>1</v>
      </c>
      <c r="E76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5"/>
  <sheetViews>
    <sheetView workbookViewId="0">
      <selection activeCell="A6" sqref="A6:XFD11"/>
    </sheetView>
  </sheetViews>
  <sheetFormatPr baseColWidth="10" defaultRowHeight="16"/>
  <cols>
    <col min="2" max="2" width="19.28515625" bestFit="1" customWidth="1"/>
    <col min="3" max="3" width="22.42578125" bestFit="1" customWidth="1"/>
    <col min="4" max="4" width="16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3" customFormat="1">
      <c r="B1" s="2" t="s">
        <v>46</v>
      </c>
      <c r="C1" s="2" t="s">
        <v>47</v>
      </c>
      <c r="D1" s="3" t="s">
        <v>48</v>
      </c>
      <c r="E1" s="1" t="s">
        <v>49</v>
      </c>
      <c r="F1" s="2" t="s">
        <v>50</v>
      </c>
      <c r="G1" s="2" t="s">
        <v>51</v>
      </c>
      <c r="H1" s="3" t="s">
        <v>98</v>
      </c>
      <c r="I1" s="3" t="s">
        <v>99</v>
      </c>
      <c r="J1" s="3" t="s">
        <v>97</v>
      </c>
      <c r="K1" s="3" t="s">
        <v>34</v>
      </c>
    </row>
    <row r="2" spans="2:11">
      <c r="B2" t="s">
        <v>52</v>
      </c>
      <c r="C2" t="str">
        <f>'Inputs - Flow Network'!$C$3</f>
        <v>Roundwood, CAT</v>
      </c>
      <c r="D2" t="str">
        <f>'Inputs - Categorical'!C15</f>
        <v>SPF</v>
      </c>
      <c r="F2">
        <v>100</v>
      </c>
      <c r="G2">
        <v>1</v>
      </c>
      <c r="K2">
        <v>1990</v>
      </c>
    </row>
    <row r="3" spans="2:11">
      <c r="B3" t="s">
        <v>52</v>
      </c>
      <c r="C3" t="str">
        <f>'Inputs - Flow Network'!$C$3</f>
        <v>Roundwood, CAT</v>
      </c>
      <c r="D3" t="str">
        <f>'Inputs - Categorical'!C16</f>
        <v>Aspen</v>
      </c>
      <c r="F3">
        <v>100</v>
      </c>
      <c r="G3">
        <v>1</v>
      </c>
      <c r="K3">
        <v>1990</v>
      </c>
    </row>
    <row r="4" spans="2:11">
      <c r="B4" t="s">
        <v>52</v>
      </c>
      <c r="C4" t="str">
        <f>'Inputs - Flow Network'!$C$3</f>
        <v>Roundwood, CAT</v>
      </c>
      <c r="D4" t="str">
        <f>'Inputs - Categorical'!C17</f>
        <v>Hem-Fir</v>
      </c>
      <c r="F4">
        <v>100</v>
      </c>
      <c r="G4">
        <v>1</v>
      </c>
      <c r="K4">
        <v>1990</v>
      </c>
    </row>
    <row r="5" spans="2:11">
      <c r="B5" t="s">
        <v>52</v>
      </c>
      <c r="C5" t="str">
        <f>'Inputs - Flow Network'!$C$3</f>
        <v>Roundwood, CAT</v>
      </c>
      <c r="D5" t="str">
        <f>'Inputs - Categorical'!C18</f>
        <v>DFL</v>
      </c>
      <c r="F5">
        <v>100</v>
      </c>
      <c r="G5">
        <v>1</v>
      </c>
      <c r="K5">
        <v>1990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26"/>
  <sheetViews>
    <sheetView workbookViewId="0">
      <selection activeCell="I49" sqref="I49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20.7109375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56</v>
      </c>
      <c r="C1" s="2" t="s">
        <v>1</v>
      </c>
      <c r="D1" s="3" t="s">
        <v>57</v>
      </c>
    </row>
    <row r="3" spans="2:7">
      <c r="B3" t="s">
        <v>58</v>
      </c>
      <c r="C3" t="s">
        <v>108</v>
      </c>
    </row>
    <row r="4" spans="2:7">
      <c r="B4" t="s">
        <v>58</v>
      </c>
      <c r="C4" t="s">
        <v>109</v>
      </c>
    </row>
    <row r="5" spans="2:7">
      <c r="B5" t="s">
        <v>58</v>
      </c>
      <c r="C5" t="s">
        <v>110</v>
      </c>
    </row>
    <row r="6" spans="2:7">
      <c r="B6" t="s">
        <v>58</v>
      </c>
      <c r="C6" t="s">
        <v>111</v>
      </c>
    </row>
    <row r="7" spans="2:7">
      <c r="B7" t="s">
        <v>58</v>
      </c>
      <c r="C7" t="s">
        <v>113</v>
      </c>
    </row>
    <row r="9" spans="2:7" s="3" customFormat="1">
      <c r="B9" s="2" t="s">
        <v>59</v>
      </c>
      <c r="C9" s="2" t="s">
        <v>1</v>
      </c>
      <c r="D9" s="3" t="s">
        <v>33</v>
      </c>
      <c r="E9" s="3" t="s">
        <v>34</v>
      </c>
    </row>
    <row r="11" spans="2:7" s="3" customFormat="1">
      <c r="B11" s="2" t="s">
        <v>60</v>
      </c>
      <c r="C11" s="2" t="s">
        <v>61</v>
      </c>
      <c r="D11" s="2" t="s">
        <v>62</v>
      </c>
    </row>
    <row r="13" spans="2:7" s="3" customFormat="1">
      <c r="B13" s="2" t="s">
        <v>63</v>
      </c>
      <c r="C13" s="2" t="s">
        <v>1</v>
      </c>
      <c r="D13" s="3" t="s">
        <v>64</v>
      </c>
      <c r="E13" s="3" t="s">
        <v>65</v>
      </c>
      <c r="F13" s="3" t="s">
        <v>33</v>
      </c>
      <c r="G13" s="3" t="s">
        <v>34</v>
      </c>
    </row>
    <row r="15" spans="2:7">
      <c r="B15" t="s">
        <v>112</v>
      </c>
      <c r="C15" t="s">
        <v>120</v>
      </c>
    </row>
    <row r="16" spans="2:7">
      <c r="B16" t="s">
        <v>112</v>
      </c>
      <c r="C16" t="s">
        <v>121</v>
      </c>
    </row>
    <row r="17" spans="2:5">
      <c r="B17" t="s">
        <v>112</v>
      </c>
      <c r="C17" t="s">
        <v>123</v>
      </c>
    </row>
    <row r="18" spans="2:5">
      <c r="B18" t="s">
        <v>112</v>
      </c>
      <c r="C18" t="s">
        <v>122</v>
      </c>
    </row>
    <row r="20" spans="2:5" s="3" customFormat="1">
      <c r="B20" s="2" t="s">
        <v>66</v>
      </c>
      <c r="C20" s="2" t="s">
        <v>1</v>
      </c>
      <c r="D20" s="3" t="s">
        <v>33</v>
      </c>
      <c r="E20" s="3" t="s">
        <v>34</v>
      </c>
    </row>
    <row r="23" spans="2:5" s="3" customFormat="1">
      <c r="B23" s="2" t="s">
        <v>67</v>
      </c>
      <c r="C23" s="2" t="s">
        <v>68</v>
      </c>
      <c r="D23" s="2" t="s">
        <v>69</v>
      </c>
    </row>
    <row r="26" spans="2:5" s="3" customFormat="1">
      <c r="B26" s="2" t="s">
        <v>70</v>
      </c>
      <c r="C26" s="3" t="s">
        <v>1</v>
      </c>
      <c r="D26" s="3" t="s">
        <v>71</v>
      </c>
      <c r="E26" s="3" t="s">
        <v>34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workbookViewId="0">
      <selection activeCell="D3" sqref="D3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72</v>
      </c>
      <c r="C1" s="2" t="s">
        <v>73</v>
      </c>
      <c r="D1" s="3" t="s">
        <v>1</v>
      </c>
      <c r="E1" s="2" t="s">
        <v>74</v>
      </c>
      <c r="F1" s="3" t="s">
        <v>84</v>
      </c>
      <c r="G1" s="3" t="s">
        <v>85</v>
      </c>
      <c r="H1" s="3" t="s">
        <v>34</v>
      </c>
    </row>
    <row r="2" spans="2:8">
      <c r="B2" t="s">
        <v>75</v>
      </c>
      <c r="C2">
        <v>1725</v>
      </c>
      <c r="D2" t="s">
        <v>119</v>
      </c>
      <c r="E2">
        <v>998</v>
      </c>
    </row>
    <row r="5" spans="2:8" s="3" customFormat="1">
      <c r="B5" s="2" t="s">
        <v>76</v>
      </c>
      <c r="C5" s="2" t="s">
        <v>1</v>
      </c>
    </row>
    <row r="6" spans="2:8">
      <c r="B6" t="s">
        <v>77</v>
      </c>
      <c r="C6" t="s">
        <v>118</v>
      </c>
    </row>
    <row r="8" spans="2:8" s="3" customFormat="1">
      <c r="B8" s="2" t="s">
        <v>78</v>
      </c>
      <c r="C8" s="2" t="s">
        <v>1</v>
      </c>
      <c r="D8" s="2" t="s">
        <v>79</v>
      </c>
      <c r="E8" s="3" t="s">
        <v>34</v>
      </c>
    </row>
    <row r="10" spans="2:8">
      <c r="B10" t="s">
        <v>80</v>
      </c>
      <c r="C10" t="s">
        <v>119</v>
      </c>
      <c r="D10" t="str">
        <f>C6</f>
        <v>Company</v>
      </c>
    </row>
    <row r="13" spans="2:8" s="3" customFormat="1">
      <c r="B13" s="2" t="s">
        <v>81</v>
      </c>
      <c r="C13" s="1" t="s">
        <v>19</v>
      </c>
      <c r="D13" s="2" t="s">
        <v>82</v>
      </c>
      <c r="E13" s="3" t="s">
        <v>86</v>
      </c>
    </row>
    <row r="14" spans="2:8">
      <c r="B14" t="s">
        <v>83</v>
      </c>
      <c r="C14" t="str">
        <f>C10</f>
        <v>CAT</v>
      </c>
      <c r="D14">
        <f>C2</f>
        <v>1725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87</v>
      </c>
      <c r="C1" s="2" t="s">
        <v>1</v>
      </c>
      <c r="D1" s="3" t="s">
        <v>96</v>
      </c>
      <c r="E1" s="3" t="s">
        <v>33</v>
      </c>
      <c r="F1" s="3" t="s">
        <v>34</v>
      </c>
    </row>
    <row r="3" spans="2:6">
      <c r="B3" t="s">
        <v>100</v>
      </c>
      <c r="C3" t="s">
        <v>102</v>
      </c>
      <c r="D3" t="s">
        <v>101</v>
      </c>
      <c r="E3" t="s">
        <v>107</v>
      </c>
    </row>
    <row r="7" spans="2:6" s="3" customFormat="1">
      <c r="B7" s="2" t="s">
        <v>88</v>
      </c>
      <c r="C7" s="2" t="s">
        <v>1</v>
      </c>
      <c r="D7" s="3" t="s">
        <v>33</v>
      </c>
      <c r="E7" s="3" t="s">
        <v>34</v>
      </c>
    </row>
    <row r="9" spans="2:6">
      <c r="B9" t="s">
        <v>106</v>
      </c>
      <c r="C9" t="s">
        <v>104</v>
      </c>
    </row>
    <row r="12" spans="2:6" s="3" customFormat="1">
      <c r="B12" s="2" t="s">
        <v>89</v>
      </c>
      <c r="C12" s="2" t="s">
        <v>90</v>
      </c>
      <c r="D12" s="2" t="s">
        <v>91</v>
      </c>
      <c r="E12" s="2" t="s">
        <v>19</v>
      </c>
      <c r="F12" s="2" t="s">
        <v>92</v>
      </c>
    </row>
    <row r="14" spans="2:6">
      <c r="B14" t="s">
        <v>105</v>
      </c>
      <c r="C14" t="str">
        <f>C9</f>
        <v>US Residential Gamma Retention</v>
      </c>
      <c r="D14" t="str">
        <f>C3</f>
        <v>Gamma (2.07 80.2)</v>
      </c>
      <c r="E14" t="s">
        <v>36</v>
      </c>
      <c r="F14">
        <v>1</v>
      </c>
    </row>
    <row r="19" spans="2:5" s="3" customFormat="1">
      <c r="B19" s="2" t="s">
        <v>93</v>
      </c>
      <c r="C19" s="2" t="s">
        <v>91</v>
      </c>
      <c r="D19" s="2" t="s">
        <v>94</v>
      </c>
      <c r="E19" s="2" t="s">
        <v>95</v>
      </c>
    </row>
    <row r="21" spans="2:5">
      <c r="B21" t="s">
        <v>103</v>
      </c>
      <c r="C21" t="str">
        <f>$C$3</f>
        <v>Gamma (2.07 80.2)</v>
      </c>
      <c r="D21">
        <v>0</v>
      </c>
      <c r="E21">
        <v>1</v>
      </c>
    </row>
    <row r="22" spans="2:5">
      <c r="B22" t="s">
        <v>103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103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103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103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103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103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103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103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103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103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103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103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103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103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103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103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103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103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103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103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103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103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103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103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103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103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103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103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103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103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103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103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103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103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103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103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103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103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103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103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103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103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103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103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103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103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103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103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103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103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103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103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103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103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103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103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103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103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103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103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103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103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103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103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103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103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103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103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103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103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103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103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103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103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103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103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103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103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103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103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103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103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103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103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103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103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103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103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103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103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103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103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103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103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103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103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103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103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103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103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103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103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103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103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103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103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103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103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103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103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103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103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103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103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103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103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103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103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103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103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103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103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103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103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103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103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103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103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103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103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103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103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103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103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103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103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103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103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103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103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103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103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103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103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103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103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103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103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103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103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103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103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103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103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103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103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103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103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103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103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103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103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103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103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103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103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103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103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103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103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103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103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103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103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103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103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103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103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103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103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103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103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103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103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103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103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103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103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103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103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103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103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103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103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103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103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103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103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103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103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103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103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103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103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103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103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103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103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103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103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103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103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103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103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103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103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103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103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103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103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103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103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103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103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103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103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103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103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103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103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103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103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103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103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103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103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103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103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103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103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103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103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103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103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103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103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103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103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103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103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103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103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103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103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103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103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103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103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103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103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103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103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103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103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103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103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103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103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103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103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103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103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103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103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103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103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103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103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103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103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103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103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103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103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103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103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103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103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103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103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103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103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103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103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103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103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103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103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103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103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2026-02-14T00:21:44Z</dcterms:modified>
</cp:coreProperties>
</file>