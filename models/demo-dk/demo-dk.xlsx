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xie/projects/anse-models/demo-dk/"/>
    </mc:Choice>
  </mc:AlternateContent>
  <xr:revisionPtr revIDLastSave="0" documentId="13_ncr:1_{6E52F5B9-A3E0-E146-9ABF-18B9BF595EF7}" xr6:coauthVersionLast="47" xr6:coauthVersionMax="47" xr10:uidLastSave="{00000000-0000-0000-0000-000000000000}"/>
  <bookViews>
    <workbookView xWindow="22680" yWindow="2320" windowWidth="28520" windowHeight="23120" xr2:uid="{73351A0E-E394-C94F-8AB9-3EA9DA143F24}"/>
  </bookViews>
  <sheets>
    <sheet name="Inputs - Flow Network" sheetId="1" r:id="rId1"/>
    <sheet name="Inputs - Carbon Mass" sheetId="2" r:id="rId2"/>
    <sheet name="Inputs - Categorical" sheetId="3" r:id="rId3"/>
    <sheet name="Inputs - Spatial" sheetId="4" r:id="rId4"/>
    <sheet name="Inputs - Curves" sheetId="5" r:id="rId5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6" i="1" l="1"/>
  <c r="C116" i="1"/>
  <c r="D100" i="1"/>
  <c r="D93" i="1"/>
  <c r="D94" i="1"/>
  <c r="D95" i="1"/>
  <c r="D96" i="1"/>
  <c r="D97" i="1"/>
  <c r="D98" i="1"/>
  <c r="D99" i="1"/>
  <c r="D92" i="1"/>
  <c r="D29" i="1"/>
  <c r="D30" i="1"/>
  <c r="D31" i="1"/>
  <c r="D32" i="1"/>
  <c r="D33" i="1"/>
  <c r="D34" i="1"/>
  <c r="D35" i="1"/>
  <c r="D36" i="1"/>
  <c r="D28" i="1"/>
  <c r="D69" i="1"/>
  <c r="D68" i="1"/>
  <c r="E32" i="1"/>
  <c r="C32" i="1"/>
  <c r="C69" i="1" s="1"/>
  <c r="E93" i="1"/>
  <c r="E94" i="1"/>
  <c r="E95" i="1"/>
  <c r="E97" i="1"/>
  <c r="E98" i="1"/>
  <c r="E99" i="1"/>
  <c r="E100" i="1"/>
  <c r="E92" i="1"/>
  <c r="E36" i="1"/>
  <c r="E35" i="1"/>
  <c r="E34" i="1"/>
  <c r="E33" i="1"/>
  <c r="E31" i="1"/>
  <c r="E30" i="1"/>
  <c r="E29" i="1"/>
  <c r="E28" i="1"/>
  <c r="D24" i="1"/>
  <c r="D23" i="1"/>
  <c r="D22" i="1"/>
  <c r="D20" i="1"/>
  <c r="D18" i="1"/>
  <c r="D17" i="1"/>
  <c r="D15" i="1"/>
  <c r="D13" i="1"/>
  <c r="D12" i="1"/>
  <c r="D11" i="1"/>
  <c r="D9" i="1"/>
  <c r="D8" i="1"/>
  <c r="D7" i="1"/>
  <c r="D4" i="1"/>
  <c r="D5" i="1"/>
  <c r="D3" i="1"/>
  <c r="D10" i="4"/>
  <c r="D13" i="4"/>
  <c r="C13" i="4"/>
  <c r="E3" i="2"/>
  <c r="C3" i="2"/>
  <c r="C105" i="1" a="1"/>
  <c r="C105" i="1" s="1"/>
  <c r="C104" i="1" a="1"/>
  <c r="C104" i="1" s="1"/>
  <c r="D88" i="1" a="1"/>
  <c r="D88" i="1" s="1"/>
  <c r="C88" i="1" a="1"/>
  <c r="C88" i="1" s="1"/>
  <c r="D87" i="1" a="1"/>
  <c r="D87" i="1" s="1"/>
  <c r="C87" i="1" a="1"/>
  <c r="C87" i="1" s="1"/>
  <c r="D86" i="1" a="1"/>
  <c r="D86" i="1" s="1"/>
  <c r="C86" i="1" a="1"/>
  <c r="C86" i="1" s="1"/>
  <c r="D85" i="1" a="1"/>
  <c r="D85" i="1" s="1"/>
  <c r="C85" i="1" a="1"/>
  <c r="C85" i="1" s="1"/>
  <c r="D84" i="1" a="1"/>
  <c r="D84" i="1" s="1"/>
  <c r="C84" i="1" a="1"/>
  <c r="C84" i="1" s="1"/>
  <c r="D83" i="1" a="1"/>
  <c r="D83" i="1" s="1"/>
  <c r="C83" i="1" a="1"/>
  <c r="C83" i="1" s="1"/>
  <c r="D81" i="1" a="1"/>
  <c r="D81" i="1" s="1"/>
  <c r="C81" i="1" a="1"/>
  <c r="C81" i="1" s="1"/>
  <c r="D80" i="1" a="1"/>
  <c r="D80" i="1" s="1"/>
  <c r="C80" i="1" a="1"/>
  <c r="C80" i="1" s="1"/>
  <c r="D79" i="1" a="1"/>
  <c r="D79" i="1" s="1"/>
  <c r="C79" i="1" a="1"/>
  <c r="C79" i="1" s="1"/>
  <c r="D77" i="1" a="1"/>
  <c r="D77" i="1" s="1"/>
  <c r="C77" i="1" a="1"/>
  <c r="C77" i="1" s="1"/>
  <c r="D76" i="1" a="1"/>
  <c r="D76" i="1" s="1"/>
  <c r="C76" i="1" a="1"/>
  <c r="C76" i="1" s="1"/>
  <c r="D75" i="1" a="1"/>
  <c r="D75" i="1" s="1"/>
  <c r="C75" i="1" a="1"/>
  <c r="C75" i="1" s="1"/>
  <c r="D73" i="1" a="1"/>
  <c r="D73" i="1" s="1"/>
  <c r="C73" i="1" a="1"/>
  <c r="C73" i="1" s="1"/>
  <c r="D72" i="1" a="1"/>
  <c r="D72" i="1" s="1"/>
  <c r="C72" i="1" a="1"/>
  <c r="C72" i="1" s="1"/>
  <c r="D71" i="1" a="1"/>
  <c r="D71" i="1" s="1"/>
  <c r="C71" i="1" a="1"/>
  <c r="C71" i="1" s="1"/>
  <c r="D66" i="1" a="1"/>
  <c r="D66" i="1" s="1"/>
  <c r="C66" i="1" a="1"/>
  <c r="C66" i="1" s="1"/>
  <c r="D65" i="1" a="1"/>
  <c r="D65" i="1" s="1"/>
  <c r="C65" i="1" a="1"/>
  <c r="C65" i="1" s="1"/>
  <c r="D64" i="1" a="1"/>
  <c r="D64" i="1" s="1"/>
  <c r="C64" i="1" a="1"/>
  <c r="C64" i="1" s="1"/>
  <c r="D62" i="1" a="1"/>
  <c r="D62" i="1" s="1"/>
  <c r="C62" i="1" a="1"/>
  <c r="C62" i="1" s="1"/>
  <c r="D61" i="1" a="1"/>
  <c r="D61" i="1" s="1"/>
  <c r="C61" i="1" a="1"/>
  <c r="C61" i="1" s="1"/>
  <c r="D60" i="1" a="1"/>
  <c r="D60" i="1" s="1"/>
  <c r="C60" i="1" a="1"/>
  <c r="C60" i="1" s="1"/>
  <c r="D58" i="1" a="1"/>
  <c r="D58" i="1" s="1"/>
  <c r="C58" i="1" a="1"/>
  <c r="C58" i="1" s="1"/>
  <c r="D57" i="1" a="1"/>
  <c r="D57" i="1" s="1"/>
  <c r="C57" i="1" a="1"/>
  <c r="C57" i="1" s="1"/>
  <c r="D56" i="1" a="1"/>
  <c r="D56" i="1" s="1"/>
  <c r="C56" i="1" a="1"/>
  <c r="C56" i="1" s="1"/>
  <c r="D54" i="1" a="1"/>
  <c r="D54" i="1" s="1"/>
  <c r="C54" i="1" a="1"/>
  <c r="C54" i="1" s="1"/>
  <c r="D53" i="1" a="1"/>
  <c r="D53" i="1" s="1"/>
  <c r="C53" i="1" a="1"/>
  <c r="C53" i="1" s="1"/>
  <c r="D52" i="1" a="1"/>
  <c r="D52" i="1" s="1"/>
  <c r="C52" i="1" a="1"/>
  <c r="C52" i="1" s="1"/>
  <c r="C68" i="1" l="1"/>
  <c r="C110" i="1" a="1"/>
  <c r="C110" i="1" s="1"/>
  <c r="C111" i="1" a="1"/>
  <c r="C111" i="1" s="1"/>
  <c r="C118" i="1" a="1"/>
  <c r="C118" i="1" s="1"/>
  <c r="C119" i="1" a="1"/>
  <c r="C119" i="1" s="1"/>
  <c r="C129" i="1" a="1"/>
  <c r="C129" i="1" s="1"/>
  <c r="C128" i="1" a="1"/>
  <c r="C128" i="1" s="1"/>
  <c r="C127" i="1" a="1"/>
  <c r="C127" i="1" s="1"/>
  <c r="C114" i="1" a="1"/>
  <c r="C114" i="1" s="1"/>
  <c r="C113" i="1" a="1"/>
  <c r="C113" i="1" s="1"/>
  <c r="C122" i="1" a="1"/>
  <c r="C122" i="1" s="1"/>
  <c r="C121" i="1" a="1"/>
  <c r="C121" i="1" s="1"/>
  <c r="C124" i="1" a="1"/>
  <c r="C124" i="1" s="1"/>
  <c r="C125" i="1" a="1"/>
  <c r="C125" i="1" s="1"/>
  <c r="C108" i="1" a="1"/>
  <c r="C108" i="1" s="1"/>
  <c r="C107" i="1" a="1"/>
  <c r="C10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Magnan, Michael</author>
    <author>mhafer</author>
    <author>tc={6B69D804-0597-AE41-AD60-4FE944E7449C}</author>
  </authors>
  <commentList>
    <comment ref="D1" authorId="0" shapeId="0" xr:uid="{DE5AEED7-5306-0F41-A9F6-E09723C07087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unknown/undefined, enter "0"</t>
        </r>
      </text>
    </comment>
    <comment ref="F1" authorId="1" shapeId="0" xr:uid="{3CFD2D9D-03A4-3D43-B752-639C8A9DCDB2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H1" authorId="1" shapeId="0" xr:uid="{AE144688-A2B4-F142-9E42-AB258D324434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I1" authorId="1" shapeId="0" xr:uid="{10548B0F-45C8-2B40-81CC-02D44A03EDB8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K1" authorId="1" shapeId="0" xr:uid="{79A1913B-90BC-5643-9773-44EE0531D514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D26" authorId="0" shapeId="0" xr:uid="{0F0EF91A-6A2B-AF42-B0CE-76F64BCDFCAD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unknown/undefined, enter "0"</t>
        </r>
      </text>
    </comment>
    <comment ref="E26" authorId="0" shapeId="0" xr:uid="{F5AA7D95-F276-074C-9ED4-8C923FE06A2E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unknown/undefined, enter "0"</t>
        </r>
      </text>
    </comment>
    <comment ref="F26" authorId="0" shapeId="0" xr:uid="{69409D6C-465E-1B44-BBA3-F285EDAE32E0}">
      <text>
        <r>
          <rPr>
            <sz val="11"/>
            <color indexed="8"/>
            <rFont val="Helvetica Neue"/>
            <family val="2"/>
          </rPr>
          <t>Magnan, Michael:
This fiield's feature not currently supported</t>
        </r>
      </text>
    </comment>
    <comment ref="G26" authorId="0" shapeId="0" xr:uid="{E29E9985-673B-8944-B201-8155952DC7C9}">
      <text>
        <r>
          <rPr>
            <sz val="11"/>
            <color indexed="8"/>
            <rFont val="Helvetica Neue"/>
            <family val="2"/>
          </rPr>
          <t>Magnan, Michael:
This fiield's feature not currently supported</t>
        </r>
      </text>
    </comment>
    <comment ref="J26" authorId="0" shapeId="0" xr:uid="{507231BE-77FA-294B-888E-FDFACCB62F22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This fiield's feature not currently supported</t>
        </r>
      </text>
    </comment>
    <comment ref="E50" authorId="1" shapeId="0" xr:uid="{9A8DBFB5-A8C4-5742-93BF-DAF4DC097001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>Boolean field; valid values are TRUE, FALSE, 1, 0</t>
        </r>
      </text>
    </comment>
    <comment ref="F50" authorId="0" shapeId="0" xr:uid="{9A461DFD-27AB-AC40-9F9F-FF5898DF7467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Integer field. For EVENT_POOL that is not source of carbon for the given Event, Sequence Number corresponds to an ACTION_PARAMETER_OUT component with the same sequence number</t>
        </r>
      </text>
    </comment>
    <comment ref="G50" authorId="0" shapeId="0" xr:uid="{790CC2B7-7F78-1E49-8A29-02AD544379DB}">
      <text>
        <r>
          <rPr>
            <sz val="11"/>
            <color indexed="8"/>
            <rFont val="Helvetica Neue"/>
            <family val="2"/>
          </rPr>
          <t>Magnan, Michael:
Boolean field; valid values are TRUE, FALSE, 1, 0.
If left empty, default is false.</t>
        </r>
      </text>
    </comment>
    <comment ref="D90" authorId="0" shapeId="0" xr:uid="{CB8A6D56-690F-E44F-ABA7-045BB1E9BA31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unknown, enter name of the EVENT for which the ACTION_PARAMETER_SET will be relevant</t>
        </r>
      </text>
    </comment>
    <comment ref="E90" authorId="0" shapeId="0" xr:uid="{0770F6B7-9594-4340-B75D-00EAD4679E04}">
      <text>
        <r>
          <rPr>
            <sz val="11"/>
            <color indexed="8"/>
            <rFont val="Helvetica Neue"/>
            <family val="2"/>
          </rPr>
          <t>Magnan, Michael:
If unknown, enter "UNIVERSE"</t>
        </r>
      </text>
    </comment>
    <comment ref="F90" authorId="0" shapeId="0" xr:uid="{1B7957D1-F128-AE48-86FE-5A39ACD0DF71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Integer field</t>
        </r>
      </text>
    </comment>
    <comment ref="G90" authorId="0" shapeId="0" xr:uid="{72DD9D24-3A22-B045-B80B-BE3842B8A588}">
      <text>
        <r>
          <rPr>
            <sz val="11"/>
            <color indexed="8"/>
            <rFont val="Helvetica Neue"/>
            <family val="2"/>
          </rPr>
          <t>Magnan, Michael:
String field for recording notes, such as the background reference source for the parameter</t>
        </r>
      </text>
    </comment>
    <comment ref="D102" authorId="0" shapeId="0" xr:uid="{00E1BBAA-B86A-8842-87A5-8788FA382A41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Integer field.</t>
        </r>
      </text>
    </comment>
    <comment ref="G102" authorId="2" shapeId="0" xr:uid="{6B69D804-0597-AE41-AD60-4FE944E7449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physical state into which the C mass is transformed. Must supply a distinct Physical State here (not Physical State Group)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Magnan, Michael</author>
  </authors>
  <commentList>
    <comment ref="B15" authorId="0" shapeId="0" xr:uid="{CC7F5D1D-B34F-1646-BA4F-A18CC3CBED25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Not currently implemented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mhafer</author>
  </authors>
  <commentList>
    <comment ref="C1" authorId="0" shapeId="0" xr:uid="{EA202CC9-29F3-D843-B152-881A2002777E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Integer field - must be entered here as …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 xml:space="preserve">=TEXT(value, "0")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>where value can be any valid Excel expression that resolves to an integer value</t>
        </r>
      </text>
    </comment>
    <comment ref="D1" authorId="0" shapeId="0" xr:uid="{1C18341E-17CA-F744-B49C-E9ECBCC81AB6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Technically this field is not required, but it is good practice to provide a value </t>
        </r>
      </text>
    </comment>
    <comment ref="E1" authorId="0" shapeId="0" xr:uid="{F0CC4848-5E49-0041-B3D5-0A6D38AC9A79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Technically this field is not required, but it is good practice to provide a value </t>
        </r>
      </text>
    </comment>
    <comment ref="G1" authorId="0" shapeId="0" xr:uid="{0D59C2D4-07A0-9147-B057-CE565E9CA9C6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Integer field - must be entered here as …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 xml:space="preserve">=TEXT(value, "0")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>where value can be any valid Excel expression that resolves to an integer value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<sst xmlns="http://schemas.openxmlformats.org/spreadsheetml/2006/main" count="263" uniqueCount="143">
  <si>
    <t>Keyword: POOL</t>
  </si>
  <si>
    <t>Name</t>
  </si>
  <si>
    <t>ASU(Integer ID)</t>
  </si>
  <si>
    <t>Curve_Type(Name) [retention]</t>
  </si>
  <si>
    <t xml:space="preserve">Curve_Type(Name) [decay] </t>
  </si>
  <si>
    <t>ASU_ Group(Name) [retention]</t>
  </si>
  <si>
    <t>ASU_Group(Name) [decay]</t>
  </si>
  <si>
    <t>Max Capacity</t>
  </si>
  <si>
    <t>Allow Age Zero Flowthrough</t>
  </si>
  <si>
    <t>Pool_Ruleset(Name)</t>
  </si>
  <si>
    <t>Description/Note</t>
  </si>
  <si>
    <t>POOL</t>
  </si>
  <si>
    <t>Keyword: EVENT</t>
  </si>
  <si>
    <t xml:space="preserve">Action_Type(Name) </t>
  </si>
  <si>
    <t>Curve(Name)[Quantity Cap]*</t>
  </si>
  <si>
    <t>Curve(Name)[Target Quantity]*</t>
  </si>
  <si>
    <t>First Timestep</t>
  </si>
  <si>
    <t>Last Timestep</t>
  </si>
  <si>
    <t>Event Ruleset(Name)</t>
  </si>
  <si>
    <t>ASU_Group(Name)</t>
  </si>
  <si>
    <t>EVENT</t>
  </si>
  <si>
    <t>Keyword: ACTION_TYPE</t>
  </si>
  <si>
    <t>NAME</t>
  </si>
  <si>
    <t>Keyword: EVENT_POOL</t>
  </si>
  <si>
    <t>Event(Name)</t>
  </si>
  <si>
    <t>Pool(Name)</t>
  </si>
  <si>
    <t>Source?</t>
  </si>
  <si>
    <t>Sequence Number</t>
  </si>
  <si>
    <t>Allow Recycling (Boolean)</t>
  </si>
  <si>
    <t>EVENT_POOL</t>
  </si>
  <si>
    <t>Keyword: ACTION_PARAMETER_SET</t>
  </si>
  <si>
    <t>Action_Type (Name)</t>
  </si>
  <si>
    <t>Effective Start Timestep*</t>
  </si>
  <si>
    <t>Reference</t>
  </si>
  <si>
    <t>Description</t>
  </si>
  <si>
    <t>ACTION_PARAMETER_SET</t>
  </si>
  <si>
    <t>Keyword: ACTION_PARAMETER_OUT</t>
  </si>
  <si>
    <t>Action_Parameter_Set(Name)</t>
  </si>
  <si>
    <t>Proportion</t>
  </si>
  <si>
    <t>New Physical State Name</t>
  </si>
  <si>
    <t>Note</t>
  </si>
  <si>
    <t>ACTION_PARAMETER_OUT</t>
  </si>
  <si>
    <t>Keyword: INITIAL_CMO</t>
  </si>
  <si>
    <t>Entry Pool (Pool Name)</t>
  </si>
  <si>
    <t>Species (Name)</t>
  </si>
  <si>
    <t>Physical State (Name)</t>
  </si>
  <si>
    <t>Quantity (Double precison)</t>
  </si>
  <si>
    <t>Entry Time Step (Integer)</t>
  </si>
  <si>
    <t>Empty Field</t>
  </si>
  <si>
    <t>INITIAL_CMO</t>
  </si>
  <si>
    <t>IPCC default-paper</t>
  </si>
  <si>
    <t>IPCC default-sawnwood</t>
  </si>
  <si>
    <t>IPCC default-panels</t>
  </si>
  <si>
    <t>Keyword: PHYSICAL_STATE</t>
  </si>
  <si>
    <t xml:space="preserve">Description </t>
  </si>
  <si>
    <t>PHYSICAL_STATE</t>
  </si>
  <si>
    <t>Roundwood</t>
  </si>
  <si>
    <t>Keyword: PHYSICAL_STATE_GROUP</t>
  </si>
  <si>
    <t>Keyword: PHYSICAL_STATE_GROUP_MEMBER</t>
  </si>
  <si>
    <t>Group(Name)</t>
  </si>
  <si>
    <t>Physical_State(Name)</t>
  </si>
  <si>
    <t>Keyword: SPECIES</t>
  </si>
  <si>
    <t>Alternate_Name</t>
  </si>
  <si>
    <t>Code</t>
  </si>
  <si>
    <t>Keyword: SPECIES_GROUP</t>
  </si>
  <si>
    <t>Keyword: SPECIES_GROUP_MEMBER</t>
  </si>
  <si>
    <t>Species_Group(Name)</t>
  </si>
  <si>
    <t>Species(Name)</t>
  </si>
  <si>
    <t>Keyword: TAG</t>
  </si>
  <si>
    <t>Value</t>
  </si>
  <si>
    <t>Keyword: ASU</t>
  </si>
  <si>
    <t>ID</t>
  </si>
  <si>
    <t>Area</t>
  </si>
  <si>
    <t>ASU</t>
  </si>
  <si>
    <t>Keyword: ASU_GROUP_TYPE</t>
  </si>
  <si>
    <t>ASU_GROUP_TYPE</t>
  </si>
  <si>
    <t>Nation</t>
  </si>
  <si>
    <t>Keyword: ASU_GROUP</t>
  </si>
  <si>
    <t>ASU_Group_Type(Name)</t>
  </si>
  <si>
    <t>ASU_GROUP</t>
  </si>
  <si>
    <t>Keyword: ASU_GROUP_MEMBER</t>
  </si>
  <si>
    <t>ASU(ID)</t>
  </si>
  <si>
    <t>ASU_GROUP_MEMBER</t>
  </si>
  <si>
    <t>Tag(Name)</t>
  </si>
  <si>
    <t>GIS_Id</t>
  </si>
  <si>
    <t>Includes: ASU_Group(Name)</t>
  </si>
  <si>
    <t>Keyword: CURVE</t>
  </si>
  <si>
    <t>Keyword: CURVE_TYPE</t>
  </si>
  <si>
    <t>Keyword: CURVE_TYPE_MEMBER</t>
  </si>
  <si>
    <t>Curve_Type(Name)</t>
  </si>
  <si>
    <t>Curve(Name)</t>
  </si>
  <si>
    <t>Effective start timestep</t>
  </si>
  <si>
    <t>Keyword: CURVE_POINT</t>
  </si>
  <si>
    <t>X_axis (Independent Variable)</t>
  </si>
  <si>
    <t>Y_axis (Dependent Variable)</t>
  </si>
  <si>
    <t>Usage</t>
  </si>
  <si>
    <t>DK</t>
  </si>
  <si>
    <t>Roundwood Trading, DK</t>
  </si>
  <si>
    <t>Roundwood value-adding, DK</t>
  </si>
  <si>
    <t>Sawnwood manufacturing, DK</t>
  </si>
  <si>
    <t>Panel manufacturing, DK</t>
  </si>
  <si>
    <t>Sawnwood Trading, DK</t>
  </si>
  <si>
    <t>Panel Trading, DK</t>
  </si>
  <si>
    <t>Paper and Paperboard Trading, DK</t>
  </si>
  <si>
    <t>End of Life Processing, DK</t>
  </si>
  <si>
    <t>Roundwood Harvested, DK</t>
  </si>
  <si>
    <t>Roundwood Consumed, DK</t>
  </si>
  <si>
    <t>Roundwood Exported, DK</t>
  </si>
  <si>
    <t>Sawmill, DK</t>
  </si>
  <si>
    <t>Sawnwood Produced, DK</t>
  </si>
  <si>
    <t>Sawnwood Comsumed, DK</t>
  </si>
  <si>
    <t>Panel mill, DK</t>
  </si>
  <si>
    <t>Panel Produced, DK</t>
  </si>
  <si>
    <t>Panel Consumed, DK</t>
  </si>
  <si>
    <t>Milling residues, DK</t>
  </si>
  <si>
    <t>Paper and Paperboard Produced, DK</t>
  </si>
  <si>
    <t>Paper and Paperboard Consumed, DK</t>
  </si>
  <si>
    <t>Products Exported, DK</t>
  </si>
  <si>
    <t>CO2, DK</t>
  </si>
  <si>
    <t>CH4, DK</t>
  </si>
  <si>
    <t>Other gases, DK</t>
  </si>
  <si>
    <t>ACTION_TYPE</t>
  </si>
  <si>
    <t>Roundwood breakdown</t>
  </si>
  <si>
    <t>Sawmilling</t>
  </si>
  <si>
    <t>Panel Manufacturing</t>
  </si>
  <si>
    <t>Pulping</t>
  </si>
  <si>
    <t>Roundwood Trading</t>
  </si>
  <si>
    <t>Sawnwood Trading</t>
  </si>
  <si>
    <t>Panel Trading</t>
  </si>
  <si>
    <t>Paper Trading</t>
  </si>
  <si>
    <t>End of Life Practice</t>
  </si>
  <si>
    <t>Roundwood Trading Parameters, DK</t>
  </si>
  <si>
    <t>Roundwood value-adding Parameters, DK</t>
  </si>
  <si>
    <t>Sawnwood manufacturing Parameters, DK</t>
  </si>
  <si>
    <t>Panel manufacturing Parameters, DK</t>
  </si>
  <si>
    <t>Sawnwood Trading Parameters, DK</t>
  </si>
  <si>
    <t>Panel Trading Parameters, DK</t>
  </si>
  <si>
    <t>Paper and Paperboard Trading Parameters, DK</t>
  </si>
  <si>
    <t>End of Life Processing Parameters, DK</t>
  </si>
  <si>
    <t>Pulp and paper manufacturing Parameters, DK</t>
  </si>
  <si>
    <t>Target</t>
  </si>
  <si>
    <t>Physical State Rule</t>
  </si>
  <si>
    <t>Species 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</si>
</sst>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HelveticaNeue"/>
      <family val="2"/>
    </font>
    <font>
      <sz val="11"/>
      <color indexed="8"/>
      <name val="Helvetica Neue"/>
      <family val="2"/>
    </font>
    <font>
      <sz val="11"/>
      <color rgb="FF000000"/>
      <name val="Helvetica Neue"/>
      <family val="2"/>
    </font>
    <font>
      <b/>
      <sz val="12"/>
      <color theme="1"/>
      <name val="HelveticaNeue"/>
    </font>
    <font>
      <sz val="12"/>
      <color theme="1"/>
      <name val="HelveticaNeue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2" borderId="0" xfId="0" applyFont="1" applyFill="1"/>
    <xf numFmtId="0" fontId="3" fillId="2" borderId="0" xfId="0" applyFont="1" applyFill="1"/>
    <xf numFmtId="0" fontId="0" fillId="2" borderId="0" xfId="0" applyFill="1"/>
    <xf numFmtId="2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gnan, Michael" id="{AA844FE2-EB73-1C46-8CBC-258D2F726562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02" personId="{AA844FE2-EB73-1C46-8CBC-258D2F726562}" id="{6B69D804-0597-AE41-AD60-4FE944E7449C}">
    <text xml:space="preserve">The physical state into which the C mass is transformed. Must supply a distinct Physical State here (not Physical State Group)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5C300-5F44-C54A-ADD4-2A504DCCAD49}">
  <dimension ref="B1:L129"/>
  <sheetViews>
    <sheetView tabSelected="1" topLeftCell="C70" workbookViewId="0">
      <selection activeCell="F102" sqref="F102:I102"/>
    </sheetView>
  </sheetViews>
  <sheetFormatPr baseColWidth="10" defaultColWidth="7.5703125" defaultRowHeight="16" customHeight="1"/>
  <cols>
    <col min="1" max="1" width="8.5703125" customWidth="1"/>
    <col min="2" max="2" width="33.140625" customWidth="1"/>
    <col min="3" max="3" width="37.140625" bestFit="1" customWidth="1"/>
    <col min="4" max="4" width="30.42578125" bestFit="1" customWidth="1"/>
    <col min="5" max="5" width="28" customWidth="1"/>
    <col min="6" max="6" width="30.140625" customWidth="1"/>
    <col min="7" max="7" width="26.7109375" customWidth="1"/>
    <col min="8" max="8" width="34.42578125" customWidth="1"/>
    <col min="9" max="9" width="26.5703125" customWidth="1"/>
    <col min="10" max="10" width="30" customWidth="1"/>
    <col min="11" max="11" width="18.140625" customWidth="1"/>
    <col min="12" max="12" width="31.42578125" customWidth="1"/>
  </cols>
  <sheetData>
    <row r="1" spans="2:12" s="1" customFormat="1" ht="16" customHeight="1">
      <c r="B1" s="2" t="s">
        <v>0</v>
      </c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3" spans="2:12" ht="16" customHeight="1">
      <c r="B3" t="s">
        <v>11</v>
      </c>
      <c r="C3" t="s">
        <v>105</v>
      </c>
      <c r="D3">
        <f>'Inputs - Spatial'!$C$2</f>
        <v>45</v>
      </c>
      <c r="J3" t="b">
        <v>1</v>
      </c>
    </row>
    <row r="4" spans="2:12" ht="16" customHeight="1">
      <c r="B4" t="s">
        <v>11</v>
      </c>
      <c r="C4" t="s">
        <v>106</v>
      </c>
      <c r="D4">
        <f>'Inputs - Spatial'!$C$2</f>
        <v>45</v>
      </c>
      <c r="J4" t="b">
        <v>1</v>
      </c>
    </row>
    <row r="5" spans="2:12" ht="16" customHeight="1">
      <c r="B5" t="s">
        <v>11</v>
      </c>
      <c r="C5" t="s">
        <v>107</v>
      </c>
      <c r="D5">
        <f>'Inputs - Spatial'!$C$2</f>
        <v>45</v>
      </c>
      <c r="J5" t="b">
        <v>1</v>
      </c>
    </row>
    <row r="7" spans="2:12" ht="16" customHeight="1">
      <c r="B7" t="s">
        <v>11</v>
      </c>
      <c r="C7" t="s">
        <v>108</v>
      </c>
      <c r="D7">
        <f>'Inputs - Spatial'!$C$2</f>
        <v>45</v>
      </c>
    </row>
    <row r="8" spans="2:12" ht="16" customHeight="1">
      <c r="B8" t="s">
        <v>11</v>
      </c>
      <c r="C8" t="s">
        <v>109</v>
      </c>
      <c r="D8">
        <f>'Inputs - Spatial'!$C$2</f>
        <v>45</v>
      </c>
    </row>
    <row r="9" spans="2:12" ht="16" customHeight="1">
      <c r="B9" t="s">
        <v>11</v>
      </c>
      <c r="C9" t="s">
        <v>110</v>
      </c>
      <c r="D9">
        <f>'Inputs - Spatial'!$C$2</f>
        <v>45</v>
      </c>
      <c r="E9" t="s">
        <v>51</v>
      </c>
    </row>
    <row r="11" spans="2:12" ht="16" customHeight="1">
      <c r="B11" t="s">
        <v>11</v>
      </c>
      <c r="C11" t="s">
        <v>111</v>
      </c>
      <c r="D11">
        <f>'Inputs - Spatial'!$C$2</f>
        <v>45</v>
      </c>
    </row>
    <row r="12" spans="2:12" ht="16" customHeight="1">
      <c r="B12" t="s">
        <v>11</v>
      </c>
      <c r="C12" t="s">
        <v>112</v>
      </c>
      <c r="D12">
        <f>'Inputs - Spatial'!$C$2</f>
        <v>45</v>
      </c>
    </row>
    <row r="13" spans="2:12" ht="16" customHeight="1">
      <c r="B13" t="s">
        <v>11</v>
      </c>
      <c r="C13" t="s">
        <v>113</v>
      </c>
      <c r="D13">
        <f>'Inputs - Spatial'!$C$2</f>
        <v>45</v>
      </c>
      <c r="E13" t="s">
        <v>52</v>
      </c>
    </row>
    <row r="15" spans="2:12" ht="16" customHeight="1">
      <c r="B15" t="s">
        <v>11</v>
      </c>
      <c r="C15" t="s">
        <v>114</v>
      </c>
      <c r="D15">
        <f>'Inputs - Spatial'!$C$2</f>
        <v>45</v>
      </c>
    </row>
    <row r="17" spans="2:12" ht="16" customHeight="1">
      <c r="B17" t="s">
        <v>11</v>
      </c>
      <c r="C17" t="s">
        <v>115</v>
      </c>
      <c r="D17">
        <f>'Inputs - Spatial'!$C$2</f>
        <v>45</v>
      </c>
    </row>
    <row r="18" spans="2:12" ht="16" customHeight="1">
      <c r="B18" t="s">
        <v>11</v>
      </c>
      <c r="C18" t="s">
        <v>116</v>
      </c>
      <c r="D18">
        <f>'Inputs - Spatial'!$C$2</f>
        <v>45</v>
      </c>
      <c r="E18" t="s">
        <v>50</v>
      </c>
    </row>
    <row r="20" spans="2:12" ht="16" customHeight="1">
      <c r="B20" t="s">
        <v>11</v>
      </c>
      <c r="C20" t="s">
        <v>117</v>
      </c>
      <c r="D20">
        <f>'Inputs - Spatial'!$C$2</f>
        <v>45</v>
      </c>
    </row>
    <row r="22" spans="2:12" ht="16" customHeight="1">
      <c r="B22" t="s">
        <v>11</v>
      </c>
      <c r="C22" t="s">
        <v>118</v>
      </c>
      <c r="D22">
        <f>'Inputs - Spatial'!$C$2</f>
        <v>45</v>
      </c>
    </row>
    <row r="23" spans="2:12" ht="16" customHeight="1">
      <c r="B23" t="s">
        <v>11</v>
      </c>
      <c r="C23" t="s">
        <v>119</v>
      </c>
      <c r="D23">
        <f>'Inputs - Spatial'!$C$2</f>
        <v>45</v>
      </c>
    </row>
    <row r="24" spans="2:12" ht="16" customHeight="1">
      <c r="B24" t="s">
        <v>11</v>
      </c>
      <c r="C24" t="s">
        <v>120</v>
      </c>
      <c r="D24">
        <f>'Inputs - Spatial'!$C$2</f>
        <v>45</v>
      </c>
    </row>
    <row r="26" spans="2:12" s="3" customFormat="1" ht="16" customHeight="1">
      <c r="B26" s="2" t="s">
        <v>12</v>
      </c>
      <c r="C26" s="2" t="s">
        <v>1</v>
      </c>
      <c r="D26" s="2" t="s">
        <v>13</v>
      </c>
      <c r="E26" s="2" t="s">
        <v>2</v>
      </c>
      <c r="F26" s="3" t="s">
        <v>14</v>
      </c>
      <c r="G26" s="3" t="s">
        <v>15</v>
      </c>
      <c r="H26" s="3" t="s">
        <v>16</v>
      </c>
      <c r="I26" s="3" t="s">
        <v>17</v>
      </c>
      <c r="J26" s="3" t="s">
        <v>18</v>
      </c>
      <c r="K26" s="3" t="s">
        <v>19</v>
      </c>
      <c r="L26" s="3" t="s">
        <v>10</v>
      </c>
    </row>
    <row r="28" spans="2:12" ht="16" customHeight="1">
      <c r="B28" t="s">
        <v>20</v>
      </c>
      <c r="C28" t="s">
        <v>97</v>
      </c>
      <c r="D28" t="str">
        <f>C40</f>
        <v>Roundwood Trading</v>
      </c>
      <c r="E28">
        <f>'Inputs - Spatial'!$C$2</f>
        <v>45</v>
      </c>
    </row>
    <row r="29" spans="2:12" ht="16" customHeight="1">
      <c r="B29" t="s">
        <v>20</v>
      </c>
      <c r="C29" t="s">
        <v>98</v>
      </c>
      <c r="D29" t="str">
        <f t="shared" ref="D29:D36" si="0">C41</f>
        <v>Roundwood breakdown</v>
      </c>
      <c r="E29">
        <f>'Inputs - Spatial'!$C$2</f>
        <v>45</v>
      </c>
    </row>
    <row r="30" spans="2:12" ht="16" customHeight="1">
      <c r="B30" t="s">
        <v>20</v>
      </c>
      <c r="C30" t="s">
        <v>99</v>
      </c>
      <c r="D30" t="str">
        <f t="shared" si="0"/>
        <v>Sawmilling</v>
      </c>
      <c r="E30">
        <f>'Inputs - Spatial'!$C$2</f>
        <v>45</v>
      </c>
    </row>
    <row r="31" spans="2:12" ht="16" customHeight="1">
      <c r="B31" t="s">
        <v>20</v>
      </c>
      <c r="C31" t="s">
        <v>100</v>
      </c>
      <c r="D31" t="str">
        <f t="shared" si="0"/>
        <v>Panel Manufacturing</v>
      </c>
      <c r="E31">
        <f>'Inputs - Spatial'!$C$2</f>
        <v>45</v>
      </c>
    </row>
    <row r="32" spans="2:12" ht="16" customHeight="1">
      <c r="B32" t="s">
        <v>20</v>
      </c>
      <c r="C32" t="str">
        <f>"Pulp and Paper manufacturing, "&amp;'Inputs - Spatial'!C10</f>
        <v>Pulp and Paper manufacturing, DK</v>
      </c>
      <c r="D32" t="str">
        <f t="shared" si="0"/>
        <v>Pulping</v>
      </c>
      <c r="E32">
        <f>'Inputs - Spatial'!$C$2</f>
        <v>45</v>
      </c>
    </row>
    <row r="33" spans="2:5" ht="16" customHeight="1">
      <c r="B33" t="s">
        <v>20</v>
      </c>
      <c r="C33" t="s">
        <v>101</v>
      </c>
      <c r="D33" t="str">
        <f t="shared" si="0"/>
        <v>Sawnwood Trading</v>
      </c>
      <c r="E33">
        <f>'Inputs - Spatial'!$C$2</f>
        <v>45</v>
      </c>
    </row>
    <row r="34" spans="2:5" ht="16" customHeight="1">
      <c r="B34" t="s">
        <v>20</v>
      </c>
      <c r="C34" t="s">
        <v>102</v>
      </c>
      <c r="D34" t="str">
        <f t="shared" si="0"/>
        <v>Panel Trading</v>
      </c>
      <c r="E34">
        <f>'Inputs - Spatial'!$C$2</f>
        <v>45</v>
      </c>
    </row>
    <row r="35" spans="2:5" ht="16" customHeight="1">
      <c r="B35" t="s">
        <v>20</v>
      </c>
      <c r="C35" t="s">
        <v>103</v>
      </c>
      <c r="D35" t="str">
        <f t="shared" si="0"/>
        <v>Paper Trading</v>
      </c>
      <c r="E35">
        <f>'Inputs - Spatial'!$C$2</f>
        <v>45</v>
      </c>
    </row>
    <row r="36" spans="2:5" ht="16" customHeight="1">
      <c r="B36" t="s">
        <v>20</v>
      </c>
      <c r="C36" t="s">
        <v>104</v>
      </c>
      <c r="D36" t="str">
        <f t="shared" si="0"/>
        <v>End of Life Practice</v>
      </c>
      <c r="E36">
        <f>'Inputs - Spatial'!$C$2</f>
        <v>45</v>
      </c>
    </row>
    <row r="38" spans="2:5" s="3" customFormat="1" ht="16" customHeight="1">
      <c r="B38" s="2" t="s">
        <v>21</v>
      </c>
      <c r="C38" s="2" t="s">
        <v>22</v>
      </c>
    </row>
    <row r="40" spans="2:5" ht="16" customHeight="1">
      <c r="B40" t="s">
        <v>121</v>
      </c>
      <c r="C40" t="s">
        <v>126</v>
      </c>
    </row>
    <row r="41" spans="2:5" ht="16" customHeight="1">
      <c r="B41" t="s">
        <v>121</v>
      </c>
      <c r="C41" t="s">
        <v>122</v>
      </c>
    </row>
    <row r="42" spans="2:5" ht="16" customHeight="1">
      <c r="B42" t="s">
        <v>121</v>
      </c>
      <c r="C42" t="s">
        <v>123</v>
      </c>
    </row>
    <row r="43" spans="2:5" ht="16" customHeight="1">
      <c r="B43" t="s">
        <v>121</v>
      </c>
      <c r="C43" t="s">
        <v>124</v>
      </c>
    </row>
    <row r="44" spans="2:5" ht="16" customHeight="1">
      <c r="B44" t="s">
        <v>121</v>
      </c>
      <c r="C44" t="s">
        <v>125</v>
      </c>
    </row>
    <row r="45" spans="2:5" ht="16" customHeight="1">
      <c r="B45" t="s">
        <v>121</v>
      </c>
      <c r="C45" t="s">
        <v>127</v>
      </c>
    </row>
    <row r="46" spans="2:5" ht="16" customHeight="1">
      <c r="B46" t="s">
        <v>121</v>
      </c>
      <c r="C46" t="s">
        <v>128</v>
      </c>
    </row>
    <row r="47" spans="2:5" ht="16" customHeight="1">
      <c r="B47" t="s">
        <v>121</v>
      </c>
      <c r="C47" t="s">
        <v>129</v>
      </c>
    </row>
    <row r="48" spans="2:5" ht="16" customHeight="1">
      <c r="B48" t="s">
        <v>121</v>
      </c>
      <c r="C48" t="s">
        <v>130</v>
      </c>
    </row>
    <row r="50" spans="2:7" s="3" customFormat="1" ht="16" customHeight="1">
      <c r="B50" s="2" t="s">
        <v>23</v>
      </c>
      <c r="C50" s="2" t="s">
        <v>24</v>
      </c>
      <c r="D50" s="2" t="s">
        <v>25</v>
      </c>
      <c r="E50" s="2" t="s">
        <v>26</v>
      </c>
      <c r="F50" s="2" t="s">
        <v>27</v>
      </c>
      <c r="G50" s="3" t="s">
        <v>28</v>
      </c>
    </row>
    <row r="52" spans="2:7" ht="16" customHeight="1">
      <c r="B52" t="s">
        <v>29</v>
      </c>
      <c r="C52" t="str" cm="1">
        <f t="array" ref="C52">$C$28</f>
        <v>Roundwood Trading, DK</v>
      </c>
      <c r="D52" t="str" cm="1">
        <f t="array" ref="D52">$C3</f>
        <v>Roundwood Harvested, DK</v>
      </c>
      <c r="E52" t="b">
        <v>1</v>
      </c>
      <c r="F52">
        <v>1</v>
      </c>
    </row>
    <row r="53" spans="2:7" ht="16" customHeight="1">
      <c r="B53" t="s">
        <v>29</v>
      </c>
      <c r="C53" t="str" cm="1">
        <f t="array" ref="C53">$C$28</f>
        <v>Roundwood Trading, DK</v>
      </c>
      <c r="D53" t="str" cm="1">
        <f t="array" ref="D53">C4</f>
        <v>Roundwood Consumed, DK</v>
      </c>
      <c r="E53" t="b">
        <v>0</v>
      </c>
      <c r="F53">
        <v>1</v>
      </c>
    </row>
    <row r="54" spans="2:7" ht="16" customHeight="1">
      <c r="B54" t="s">
        <v>29</v>
      </c>
      <c r="C54" t="str" cm="1">
        <f t="array" ref="C54">$C$28</f>
        <v>Roundwood Trading, DK</v>
      </c>
      <c r="D54" t="str" cm="1">
        <f t="array" ref="D54">C5</f>
        <v>Roundwood Exported, DK</v>
      </c>
      <c r="E54" t="b">
        <v>0</v>
      </c>
      <c r="F54">
        <v>2</v>
      </c>
    </row>
    <row r="56" spans="2:7" ht="16" customHeight="1">
      <c r="B56" t="s">
        <v>29</v>
      </c>
      <c r="C56" t="str" cm="1">
        <f t="array" ref="C56">$C$29</f>
        <v>Roundwood value-adding, DK</v>
      </c>
      <c r="D56" t="str" cm="1">
        <f t="array" ref="D56">C4</f>
        <v>Roundwood Consumed, DK</v>
      </c>
      <c r="E56" t="b">
        <v>1</v>
      </c>
      <c r="F56">
        <v>1</v>
      </c>
    </row>
    <row r="57" spans="2:7" ht="16" customHeight="1">
      <c r="B57" t="s">
        <v>29</v>
      </c>
      <c r="C57" t="str" cm="1">
        <f t="array" ref="C57">$C$29</f>
        <v>Roundwood value-adding, DK</v>
      </c>
      <c r="D57" t="str" cm="1">
        <f t="array" ref="D57">C7</f>
        <v>Sawmill, DK</v>
      </c>
      <c r="E57" t="b">
        <v>0</v>
      </c>
      <c r="F57">
        <v>1</v>
      </c>
    </row>
    <row r="58" spans="2:7" ht="16" customHeight="1">
      <c r="B58" t="s">
        <v>29</v>
      </c>
      <c r="C58" t="str" cm="1">
        <f t="array" ref="C58">$C$29</f>
        <v>Roundwood value-adding, DK</v>
      </c>
      <c r="D58" t="str" cm="1">
        <f t="array" ref="D58">C11</f>
        <v>Panel mill, DK</v>
      </c>
      <c r="E58" t="b">
        <v>0</v>
      </c>
      <c r="F58">
        <v>2</v>
      </c>
    </row>
    <row r="60" spans="2:7" ht="16" customHeight="1">
      <c r="B60" t="s">
        <v>29</v>
      </c>
      <c r="C60" t="str" cm="1">
        <f t="array" ref="C60">$C$30</f>
        <v>Sawnwood manufacturing, DK</v>
      </c>
      <c r="D60" t="str" cm="1">
        <f t="array" ref="D60">C7</f>
        <v>Sawmill, DK</v>
      </c>
      <c r="E60" t="b">
        <v>1</v>
      </c>
      <c r="F60">
        <v>1</v>
      </c>
    </row>
    <row r="61" spans="2:7" ht="16" customHeight="1">
      <c r="B61" t="s">
        <v>29</v>
      </c>
      <c r="C61" t="str" cm="1">
        <f t="array" ref="C61">$C$30</f>
        <v>Sawnwood manufacturing, DK</v>
      </c>
      <c r="D61" t="str" cm="1">
        <f t="array" ref="D61">C8</f>
        <v>Sawnwood Produced, DK</v>
      </c>
      <c r="E61" t="b">
        <v>0</v>
      </c>
      <c r="F61">
        <v>1</v>
      </c>
    </row>
    <row r="62" spans="2:7" ht="16" customHeight="1">
      <c r="B62" t="s">
        <v>29</v>
      </c>
      <c r="C62" t="str" cm="1">
        <f t="array" ref="C62">$C$30</f>
        <v>Sawnwood manufacturing, DK</v>
      </c>
      <c r="D62" t="str" cm="1">
        <f t="array" ref="D62">C15</f>
        <v>Milling residues, DK</v>
      </c>
      <c r="E62" t="b">
        <v>0</v>
      </c>
      <c r="F62">
        <v>2</v>
      </c>
    </row>
    <row r="64" spans="2:7" ht="16" customHeight="1">
      <c r="B64" t="s">
        <v>29</v>
      </c>
      <c r="C64" t="str" cm="1">
        <f t="array" ref="C64">$C$31</f>
        <v>Panel manufacturing, DK</v>
      </c>
      <c r="D64" t="str" cm="1">
        <f t="array" ref="D64">C11</f>
        <v>Panel mill, DK</v>
      </c>
      <c r="E64" t="b">
        <v>1</v>
      </c>
      <c r="F64">
        <v>1</v>
      </c>
    </row>
    <row r="65" spans="2:6" ht="16" customHeight="1">
      <c r="B65" t="s">
        <v>29</v>
      </c>
      <c r="C65" t="str" cm="1">
        <f t="array" ref="C65">$C$31</f>
        <v>Panel manufacturing, DK</v>
      </c>
      <c r="D65" t="str" cm="1">
        <f t="array" ref="D65">C12</f>
        <v>Panel Produced, DK</v>
      </c>
      <c r="E65" t="b">
        <v>0</v>
      </c>
      <c r="F65">
        <v>1</v>
      </c>
    </row>
    <row r="66" spans="2:6" ht="16" customHeight="1">
      <c r="B66" t="s">
        <v>29</v>
      </c>
      <c r="C66" t="str" cm="1">
        <f t="array" ref="C66">$C$31</f>
        <v>Panel manufacturing, DK</v>
      </c>
      <c r="D66" t="str" cm="1">
        <f t="array" ref="D66">C15</f>
        <v>Milling residues, DK</v>
      </c>
      <c r="E66" t="b">
        <v>0</v>
      </c>
      <c r="F66">
        <v>2</v>
      </c>
    </row>
    <row r="68" spans="2:6" ht="16" customHeight="1">
      <c r="B68" t="s">
        <v>29</v>
      </c>
      <c r="C68" t="str">
        <f>C32</f>
        <v>Pulp and Paper manufacturing, DK</v>
      </c>
      <c r="D68" t="str">
        <f>C15</f>
        <v>Milling residues, DK</v>
      </c>
      <c r="E68" t="b">
        <v>1</v>
      </c>
      <c r="F68">
        <v>1</v>
      </c>
    </row>
    <row r="69" spans="2:6" ht="16" customHeight="1">
      <c r="B69" t="s">
        <v>29</v>
      </c>
      <c r="C69" t="str">
        <f>C32</f>
        <v>Pulp and Paper manufacturing, DK</v>
      </c>
      <c r="D69" t="str">
        <f>C17</f>
        <v>Paper and Paperboard Produced, DK</v>
      </c>
      <c r="E69" t="b">
        <v>0</v>
      </c>
      <c r="F69">
        <v>1</v>
      </c>
    </row>
    <row r="71" spans="2:6" ht="16" customHeight="1">
      <c r="B71" t="s">
        <v>29</v>
      </c>
      <c r="C71" t="str" cm="1">
        <f t="array" ref="C71">$C$33</f>
        <v>Sawnwood Trading, DK</v>
      </c>
      <c r="D71" t="str" cm="1">
        <f t="array" ref="D71">C8</f>
        <v>Sawnwood Produced, DK</v>
      </c>
      <c r="E71" t="b">
        <v>1</v>
      </c>
      <c r="F71">
        <v>1</v>
      </c>
    </row>
    <row r="72" spans="2:6" ht="16" customHeight="1">
      <c r="B72" t="s">
        <v>29</v>
      </c>
      <c r="C72" t="str" cm="1">
        <f t="array" ref="C72">$C$33</f>
        <v>Sawnwood Trading, DK</v>
      </c>
      <c r="D72" t="str" cm="1">
        <f t="array" ref="D72">C9</f>
        <v>Sawnwood Comsumed, DK</v>
      </c>
      <c r="E72" t="b">
        <v>0</v>
      </c>
      <c r="F72">
        <v>1</v>
      </c>
    </row>
    <row r="73" spans="2:6" ht="16" customHeight="1">
      <c r="B73" t="s">
        <v>29</v>
      </c>
      <c r="C73" t="str" cm="1">
        <f t="array" ref="C73">$C$33</f>
        <v>Sawnwood Trading, DK</v>
      </c>
      <c r="D73" t="str" cm="1">
        <f t="array" ref="D73">C20</f>
        <v>Products Exported, DK</v>
      </c>
      <c r="E73" t="b">
        <v>0</v>
      </c>
      <c r="F73">
        <v>2</v>
      </c>
    </row>
    <row r="75" spans="2:6" ht="16" customHeight="1">
      <c r="B75" t="s">
        <v>29</v>
      </c>
      <c r="C75" t="str" cm="1">
        <f t="array" ref="C75">$C$34</f>
        <v>Panel Trading, DK</v>
      </c>
      <c r="D75" t="str" cm="1">
        <f t="array" ref="D75">C12</f>
        <v>Panel Produced, DK</v>
      </c>
      <c r="E75" t="b">
        <v>1</v>
      </c>
      <c r="F75">
        <v>1</v>
      </c>
    </row>
    <row r="76" spans="2:6" ht="16" customHeight="1">
      <c r="B76" t="s">
        <v>29</v>
      </c>
      <c r="C76" t="str" cm="1">
        <f t="array" ref="C76">$C$34</f>
        <v>Panel Trading, DK</v>
      </c>
      <c r="D76" t="str" cm="1">
        <f t="array" ref="D76">C13</f>
        <v>Panel Consumed, DK</v>
      </c>
      <c r="E76" t="b">
        <v>0</v>
      </c>
      <c r="F76">
        <v>1</v>
      </c>
    </row>
    <row r="77" spans="2:6" ht="16" customHeight="1">
      <c r="B77" t="s">
        <v>29</v>
      </c>
      <c r="C77" t="str" cm="1">
        <f t="array" ref="C77">$C$34</f>
        <v>Panel Trading, DK</v>
      </c>
      <c r="D77" t="str" cm="1">
        <f t="array" ref="D77">C20</f>
        <v>Products Exported, DK</v>
      </c>
      <c r="E77" t="b">
        <v>0</v>
      </c>
      <c r="F77">
        <v>2</v>
      </c>
    </row>
    <row r="79" spans="2:6" ht="16" customHeight="1">
      <c r="B79" t="s">
        <v>29</v>
      </c>
      <c r="C79" t="str" cm="1">
        <f t="array" ref="C79">$C$35</f>
        <v>Paper and Paperboard Trading, DK</v>
      </c>
      <c r="D79" t="str" cm="1">
        <f t="array" ref="D79">C17</f>
        <v>Paper and Paperboard Produced, DK</v>
      </c>
      <c r="E79" t="b">
        <v>1</v>
      </c>
      <c r="F79">
        <v>1</v>
      </c>
    </row>
    <row r="80" spans="2:6" ht="16" customHeight="1">
      <c r="B80" t="s">
        <v>29</v>
      </c>
      <c r="C80" t="str" cm="1">
        <f t="array" ref="C80">$C$35</f>
        <v>Paper and Paperboard Trading, DK</v>
      </c>
      <c r="D80" t="str" cm="1">
        <f t="array" ref="D80">C18</f>
        <v>Paper and Paperboard Consumed, DK</v>
      </c>
      <c r="E80" t="b">
        <v>0</v>
      </c>
      <c r="F80">
        <v>1</v>
      </c>
    </row>
    <row r="81" spans="2:8" ht="16" customHeight="1">
      <c r="B81" t="s">
        <v>29</v>
      </c>
      <c r="C81" t="str" cm="1">
        <f t="array" ref="C81">$C$35</f>
        <v>Paper and Paperboard Trading, DK</v>
      </c>
      <c r="D81" t="str" cm="1">
        <f t="array" ref="D81">C20</f>
        <v>Products Exported, DK</v>
      </c>
      <c r="E81" t="b">
        <v>0</v>
      </c>
      <c r="F81">
        <v>2</v>
      </c>
    </row>
    <row r="83" spans="2:8" ht="16" customHeight="1">
      <c r="B83" t="s">
        <v>29</v>
      </c>
      <c r="C83" t="str" cm="1">
        <f t="array" ref="C83">$C$36</f>
        <v>End of Life Processing, DK</v>
      </c>
      <c r="D83" t="str" cm="1">
        <f t="array" ref="D83">C9</f>
        <v>Sawnwood Comsumed, DK</v>
      </c>
      <c r="E83" t="b">
        <v>1</v>
      </c>
      <c r="F83">
        <v>1</v>
      </c>
    </row>
    <row r="84" spans="2:8" ht="16" customHeight="1">
      <c r="B84" t="s">
        <v>29</v>
      </c>
      <c r="C84" t="str" cm="1">
        <f t="array" ref="C84">$C$36</f>
        <v>End of Life Processing, DK</v>
      </c>
      <c r="D84" t="str" cm="1">
        <f t="array" ref="D84">C13</f>
        <v>Panel Consumed, DK</v>
      </c>
      <c r="E84" t="b">
        <v>1</v>
      </c>
      <c r="F84">
        <v>2</v>
      </c>
    </row>
    <row r="85" spans="2:8" ht="16" customHeight="1">
      <c r="B85" t="s">
        <v>29</v>
      </c>
      <c r="C85" t="str" cm="1">
        <f t="array" ref="C85">$C$36</f>
        <v>End of Life Processing, DK</v>
      </c>
      <c r="D85" t="str" cm="1">
        <f t="array" ref="D85">C18</f>
        <v>Paper and Paperboard Consumed, DK</v>
      </c>
      <c r="E85" t="b">
        <v>1</v>
      </c>
      <c r="F85">
        <v>3</v>
      </c>
    </row>
    <row r="86" spans="2:8" ht="16" customHeight="1">
      <c r="B86" t="s">
        <v>29</v>
      </c>
      <c r="C86" t="str" cm="1">
        <f t="array" ref="C86">$C$36</f>
        <v>End of Life Processing, DK</v>
      </c>
      <c r="D86" t="str" cm="1">
        <f t="array" ref="D86">C22</f>
        <v>CO2, DK</v>
      </c>
      <c r="E86" t="b">
        <v>0</v>
      </c>
      <c r="F86">
        <v>1</v>
      </c>
    </row>
    <row r="87" spans="2:8" ht="16" customHeight="1">
      <c r="B87" t="s">
        <v>29</v>
      </c>
      <c r="C87" t="str" cm="1">
        <f t="array" ref="C87">$C$36</f>
        <v>End of Life Processing, DK</v>
      </c>
      <c r="D87" t="str" cm="1">
        <f t="array" ref="D87">C23</f>
        <v>CH4, DK</v>
      </c>
      <c r="E87" t="b">
        <v>0</v>
      </c>
      <c r="F87">
        <v>2</v>
      </c>
    </row>
    <row r="88" spans="2:8" ht="16" customHeight="1">
      <c r="B88" t="s">
        <v>29</v>
      </c>
      <c r="C88" t="str" cm="1">
        <f t="array" ref="C88">$C$36</f>
        <v>End of Life Processing, DK</v>
      </c>
      <c r="D88" t="str" cm="1">
        <f t="array" ref="D88">C24</f>
        <v>Other gases, DK</v>
      </c>
      <c r="E88" t="b">
        <v>0</v>
      </c>
      <c r="F88">
        <v>3</v>
      </c>
    </row>
    <row r="90" spans="2:8" s="3" customFormat="1" ht="16" customHeight="1">
      <c r="B90" s="2" t="s">
        <v>30</v>
      </c>
      <c r="C90" s="2" t="s">
        <v>1</v>
      </c>
      <c r="D90" s="2" t="s">
        <v>31</v>
      </c>
      <c r="E90" s="2" t="s">
        <v>19</v>
      </c>
      <c r="F90" s="3" t="s">
        <v>32</v>
      </c>
      <c r="G90" s="3" t="s">
        <v>33</v>
      </c>
      <c r="H90" s="3" t="s">
        <v>34</v>
      </c>
    </row>
    <row r="92" spans="2:8" ht="16" customHeight="1">
      <c r="B92" t="s">
        <v>35</v>
      </c>
      <c r="C92" t="s">
        <v>131</v>
      </c>
      <c r="D92" t="str">
        <f>C40</f>
        <v>Roundwood Trading</v>
      </c>
      <c r="E92" t="str">
        <f>'Inputs - Spatial'!$C$10</f>
        <v>DK</v>
      </c>
    </row>
    <row r="93" spans="2:8" ht="16" customHeight="1">
      <c r="B93" t="s">
        <v>35</v>
      </c>
      <c r="C93" t="s">
        <v>132</v>
      </c>
      <c r="D93" t="str">
        <f t="shared" ref="D93:D95" si="1">C41</f>
        <v>Roundwood breakdown</v>
      </c>
      <c r="E93" t="str">
        <f>'Inputs - Spatial'!$C$10</f>
        <v>DK</v>
      </c>
    </row>
    <row r="94" spans="2:8" ht="16" customHeight="1">
      <c r="B94" t="s">
        <v>35</v>
      </c>
      <c r="C94" t="s">
        <v>133</v>
      </c>
      <c r="D94" t="str">
        <f t="shared" si="1"/>
        <v>Sawmilling</v>
      </c>
      <c r="E94" t="str">
        <f>'Inputs - Spatial'!$C$10</f>
        <v>DK</v>
      </c>
    </row>
    <row r="95" spans="2:8" ht="16" customHeight="1">
      <c r="B95" t="s">
        <v>35</v>
      </c>
      <c r="C95" t="s">
        <v>134</v>
      </c>
      <c r="D95" t="str">
        <f t="shared" si="1"/>
        <v>Panel Manufacturing</v>
      </c>
      <c r="E95" t="str">
        <f>'Inputs - Spatial'!$C$10</f>
        <v>DK</v>
      </c>
    </row>
    <row r="96" spans="2:8" ht="16" customHeight="1">
      <c r="B96" t="s">
        <v>35</v>
      </c>
      <c r="C96" t="s">
        <v>139</v>
      </c>
      <c r="D96" t="str">
        <f>C44</f>
        <v>Pulping</v>
      </c>
      <c r="E96" t="str">
        <f>'Inputs - Spatial'!$C$10</f>
        <v>DK</v>
      </c>
    </row>
    <row r="97" spans="2:10" ht="16" customHeight="1">
      <c r="B97" t="s">
        <v>35</v>
      </c>
      <c r="C97" t="s">
        <v>135</v>
      </c>
      <c r="D97" t="str">
        <f>C45</f>
        <v>Sawnwood Trading</v>
      </c>
      <c r="E97" t="str">
        <f>'Inputs - Spatial'!$C$10</f>
        <v>DK</v>
      </c>
    </row>
    <row r="98" spans="2:10" ht="16" customHeight="1">
      <c r="B98" t="s">
        <v>35</v>
      </c>
      <c r="C98" t="s">
        <v>136</v>
      </c>
      <c r="D98" t="str">
        <f>C46</f>
        <v>Panel Trading</v>
      </c>
      <c r="E98" t="str">
        <f>'Inputs - Spatial'!$C$10</f>
        <v>DK</v>
      </c>
    </row>
    <row r="99" spans="2:10" ht="16" customHeight="1">
      <c r="B99" t="s">
        <v>35</v>
      </c>
      <c r="C99" t="s">
        <v>137</v>
      </c>
      <c r="D99" t="str">
        <f>C47</f>
        <v>Paper Trading</v>
      </c>
      <c r="E99" t="str">
        <f>'Inputs - Spatial'!$C$10</f>
        <v>DK</v>
      </c>
    </row>
    <row r="100" spans="2:10" ht="16" customHeight="1">
      <c r="B100" t="s">
        <v>35</v>
      </c>
      <c r="C100" t="s">
        <v>138</v>
      </c>
      <c r="D100" t="str">
        <f>C48</f>
        <v>End of Life Practice</v>
      </c>
      <c r="E100" t="str">
        <f>'Inputs - Spatial'!$C$10</f>
        <v>DK</v>
      </c>
    </row>
    <row r="102" spans="2:10" s="3" customFormat="1" ht="16" customHeight="1">
      <c r="B102" s="2" t="s">
        <v>36</v>
      </c>
      <c r="C102" s="2" t="s">
        <v>37</v>
      </c>
      <c r="D102" s="2" t="s">
        <v>27</v>
      </c>
      <c r="E102" s="2" t="s">
        <v>38</v>
      </c>
      <c r="F102" s="5" t="s">
        <v>140</v>
      </c>
      <c r="G102" s="5" t="s">
        <v>39</v>
      </c>
      <c r="H102" s="5" t="s">
        <v>141</v>
      </c>
      <c r="I102" s="5" t="s">
        <v>142</v>
      </c>
      <c r="J102" s="3" t="s">
        <v>40</v>
      </c>
    </row>
    <row r="104" spans="2:10" ht="16" customHeight="1">
      <c r="B104" t="s">
        <v>41</v>
      </c>
      <c r="C104" t="str" cm="1">
        <f t="array" ref="C104">C92</f>
        <v>Roundwood Trading Parameters, DK</v>
      </c>
      <c r="D104">
        <v>1</v>
      </c>
      <c r="E104">
        <v>0.5</v>
      </c>
    </row>
    <row r="105" spans="2:10" ht="16" customHeight="1">
      <c r="B105" t="s">
        <v>41</v>
      </c>
      <c r="C105" t="str" cm="1">
        <f t="array" ref="C105">C92</f>
        <v>Roundwood Trading Parameters, DK</v>
      </c>
      <c r="D105">
        <v>2</v>
      </c>
      <c r="E105">
        <v>0.5</v>
      </c>
    </row>
    <row r="107" spans="2:10" ht="16" customHeight="1">
      <c r="B107" t="s">
        <v>41</v>
      </c>
      <c r="C107" t="str" cm="1">
        <f t="array" ref="C107">C93</f>
        <v>Roundwood value-adding Parameters, DK</v>
      </c>
      <c r="D107">
        <v>1</v>
      </c>
      <c r="E107">
        <v>0.75</v>
      </c>
    </row>
    <row r="108" spans="2:10" ht="16" customHeight="1">
      <c r="B108" t="s">
        <v>41</v>
      </c>
      <c r="C108" t="str" cm="1">
        <f t="array" ref="C108">C93</f>
        <v>Roundwood value-adding Parameters, DK</v>
      </c>
      <c r="D108">
        <v>2</v>
      </c>
      <c r="E108">
        <v>0.25</v>
      </c>
    </row>
    <row r="110" spans="2:10" ht="16" customHeight="1">
      <c r="B110" t="s">
        <v>41</v>
      </c>
      <c r="C110" t="str" cm="1">
        <f t="array" ref="C110">C94</f>
        <v>Sawnwood manufacturing Parameters, DK</v>
      </c>
      <c r="D110">
        <v>1</v>
      </c>
      <c r="E110">
        <v>0.5</v>
      </c>
    </row>
    <row r="111" spans="2:10" ht="16" customHeight="1">
      <c r="B111" t="s">
        <v>41</v>
      </c>
      <c r="C111" t="str" cm="1">
        <f t="array" ref="C111">C94</f>
        <v>Sawnwood manufacturing Parameters, DK</v>
      </c>
      <c r="D111">
        <v>2</v>
      </c>
      <c r="E111">
        <v>0.5</v>
      </c>
    </row>
    <row r="113" spans="2:5" ht="16" customHeight="1">
      <c r="B113" t="s">
        <v>41</v>
      </c>
      <c r="C113" t="str" cm="1">
        <f t="array" ref="C113">C95</f>
        <v>Panel manufacturing Parameters, DK</v>
      </c>
      <c r="D113">
        <v>1</v>
      </c>
      <c r="E113">
        <v>0.98</v>
      </c>
    </row>
    <row r="114" spans="2:5" ht="16" customHeight="1">
      <c r="B114" t="s">
        <v>41</v>
      </c>
      <c r="C114" t="str" cm="1">
        <f t="array" ref="C114">C95</f>
        <v>Panel manufacturing Parameters, DK</v>
      </c>
      <c r="D114">
        <v>2</v>
      </c>
      <c r="E114">
        <v>0.02</v>
      </c>
    </row>
    <row r="116" spans="2:5" ht="16" customHeight="1">
      <c r="B116" t="s">
        <v>41</v>
      </c>
      <c r="C116" t="str">
        <f>C96</f>
        <v>Pulp and paper manufacturing Parameters, DK</v>
      </c>
      <c r="D116">
        <v>1</v>
      </c>
      <c r="E116">
        <v>1</v>
      </c>
    </row>
    <row r="118" spans="2:5" ht="16" customHeight="1">
      <c r="B118" t="s">
        <v>41</v>
      </c>
      <c r="C118" t="str" cm="1">
        <f t="array" ref="C118">C97</f>
        <v>Sawnwood Trading Parameters, DK</v>
      </c>
      <c r="D118">
        <v>1</v>
      </c>
      <c r="E118">
        <v>0.75</v>
      </c>
    </row>
    <row r="119" spans="2:5" ht="16" customHeight="1">
      <c r="B119" t="s">
        <v>41</v>
      </c>
      <c r="C119" t="str" cm="1">
        <f t="array" ref="C119">C97</f>
        <v>Sawnwood Trading Parameters, DK</v>
      </c>
      <c r="D119">
        <v>2</v>
      </c>
      <c r="E119">
        <v>0.25</v>
      </c>
    </row>
    <row r="121" spans="2:5" ht="16" customHeight="1">
      <c r="B121" t="s">
        <v>41</v>
      </c>
      <c r="C121" t="str" cm="1">
        <f t="array" ref="C121">C98</f>
        <v>Panel Trading Parameters, DK</v>
      </c>
      <c r="D121">
        <v>1</v>
      </c>
      <c r="E121">
        <v>0.75</v>
      </c>
    </row>
    <row r="122" spans="2:5" ht="16" customHeight="1">
      <c r="B122" t="s">
        <v>41</v>
      </c>
      <c r="C122" t="str" cm="1">
        <f t="array" ref="C122">C98</f>
        <v>Panel Trading Parameters, DK</v>
      </c>
      <c r="D122">
        <v>2</v>
      </c>
      <c r="E122">
        <v>0.25</v>
      </c>
    </row>
    <row r="124" spans="2:5" ht="16" customHeight="1">
      <c r="B124" t="s">
        <v>41</v>
      </c>
      <c r="C124" t="str" cm="1">
        <f t="array" ref="C124">C99</f>
        <v>Paper and Paperboard Trading Parameters, DK</v>
      </c>
      <c r="D124">
        <v>1</v>
      </c>
      <c r="E124">
        <v>0.75</v>
      </c>
    </row>
    <row r="125" spans="2:5" ht="16" customHeight="1">
      <c r="B125" t="s">
        <v>41</v>
      </c>
      <c r="C125" t="str" cm="1">
        <f t="array" ref="C125">C99</f>
        <v>Paper and Paperboard Trading Parameters, DK</v>
      </c>
      <c r="D125">
        <v>2</v>
      </c>
      <c r="E125">
        <v>0.25</v>
      </c>
    </row>
    <row r="127" spans="2:5" ht="16" customHeight="1">
      <c r="B127" t="s">
        <v>41</v>
      </c>
      <c r="C127" t="str" cm="1">
        <f t="array" ref="C127">C100</f>
        <v>End of Life Processing Parameters, DK</v>
      </c>
      <c r="D127">
        <v>1</v>
      </c>
      <c r="E127">
        <v>0.5</v>
      </c>
    </row>
    <row r="128" spans="2:5" ht="16" customHeight="1">
      <c r="B128" t="s">
        <v>41</v>
      </c>
      <c r="C128" t="str" cm="1">
        <f t="array" ref="C128">C100</f>
        <v>End of Life Processing Parameters, DK</v>
      </c>
      <c r="D128">
        <v>2</v>
      </c>
      <c r="E128">
        <v>0.5</v>
      </c>
    </row>
    <row r="129" spans="2:5" ht="16" customHeight="1">
      <c r="B129" t="s">
        <v>41</v>
      </c>
      <c r="C129" t="str" cm="1">
        <f t="array" ref="C129">C100</f>
        <v>End of Life Processing Parameters, DK</v>
      </c>
      <c r="D129">
        <v>3</v>
      </c>
      <c r="E129">
        <v>0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52807-D21A-1A49-9C05-E8FAC8B5CEA8}">
  <dimension ref="B1:K3"/>
  <sheetViews>
    <sheetView workbookViewId="0">
      <selection activeCell="E3" sqref="E3"/>
    </sheetView>
  </sheetViews>
  <sheetFormatPr baseColWidth="10" defaultRowHeight="16"/>
  <cols>
    <col min="2" max="2" width="19.28515625" bestFit="1" customWidth="1"/>
    <col min="3" max="3" width="18.85546875" bestFit="1" customWidth="1"/>
    <col min="4" max="4" width="12.7109375" bestFit="1" customWidth="1"/>
    <col min="5" max="5" width="17.7109375" bestFit="1" customWidth="1"/>
    <col min="6" max="6" width="21.5703125" bestFit="1" customWidth="1"/>
    <col min="7" max="7" width="19.85546875" bestFit="1" customWidth="1"/>
    <col min="8" max="10" width="10" bestFit="1" customWidth="1"/>
    <col min="11" max="11" width="9.7109375" bestFit="1" customWidth="1"/>
  </cols>
  <sheetData>
    <row r="1" spans="2:11" s="3" customFormat="1">
      <c r="B1" s="2" t="s">
        <v>42</v>
      </c>
      <c r="C1" s="2" t="s">
        <v>43</v>
      </c>
      <c r="D1" s="3" t="s">
        <v>44</v>
      </c>
      <c r="E1" s="2" t="s">
        <v>45</v>
      </c>
      <c r="F1" s="2" t="s">
        <v>46</v>
      </c>
      <c r="G1" s="2" t="s">
        <v>47</v>
      </c>
      <c r="H1" s="3" t="s">
        <v>48</v>
      </c>
      <c r="I1" s="3" t="s">
        <v>48</v>
      </c>
      <c r="J1" s="3" t="s">
        <v>48</v>
      </c>
      <c r="K1" s="3" t="s">
        <v>34</v>
      </c>
    </row>
    <row r="3" spans="2:11">
      <c r="B3" t="s">
        <v>49</v>
      </c>
      <c r="C3" t="str">
        <f>'Inputs - Flow Network'!C3</f>
        <v>Roundwood Harvested, DK</v>
      </c>
      <c r="E3" t="str">
        <f>'Inputs - Categorical'!C3</f>
        <v>Roundwood</v>
      </c>
      <c r="F3" s="4">
        <v>100</v>
      </c>
      <c r="G3">
        <v>1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C481-AC22-9A46-B3DF-F781248D750D}">
  <dimension ref="B1:G15"/>
  <sheetViews>
    <sheetView workbookViewId="0">
      <selection activeCell="G40" sqref="G40"/>
    </sheetView>
  </sheetViews>
  <sheetFormatPr baseColWidth="10" defaultRowHeight="16"/>
  <cols>
    <col min="1" max="1" width="9.7109375" bestFit="1" customWidth="1"/>
    <col min="2" max="2" width="39" bestFit="1" customWidth="1"/>
    <col min="3" max="3" width="18.140625" bestFit="1" customWidth="1"/>
    <col min="4" max="4" width="17.7109375" bestFit="1" customWidth="1"/>
    <col min="5" max="5" width="16.28515625" customWidth="1"/>
    <col min="6" max="6" width="8.5703125" bestFit="1" customWidth="1"/>
    <col min="7" max="7" width="9.7109375" bestFit="1" customWidth="1"/>
  </cols>
  <sheetData>
    <row r="1" spans="2:7" s="3" customFormat="1">
      <c r="B1" s="2" t="s">
        <v>53</v>
      </c>
      <c r="C1" s="2" t="s">
        <v>1</v>
      </c>
      <c r="D1" s="3" t="s">
        <v>54</v>
      </c>
    </row>
    <row r="3" spans="2:7">
      <c r="B3" t="s">
        <v>55</v>
      </c>
      <c r="C3" t="s">
        <v>56</v>
      </c>
    </row>
    <row r="5" spans="2:7" s="3" customFormat="1">
      <c r="B5" s="2" t="s">
        <v>57</v>
      </c>
      <c r="C5" s="2" t="s">
        <v>1</v>
      </c>
      <c r="D5" s="3" t="s">
        <v>33</v>
      </c>
      <c r="E5" s="3" t="s">
        <v>34</v>
      </c>
    </row>
    <row r="7" spans="2:7" s="3" customFormat="1">
      <c r="B7" s="2" t="s">
        <v>58</v>
      </c>
      <c r="C7" s="2" t="s">
        <v>59</v>
      </c>
      <c r="D7" s="2" t="s">
        <v>60</v>
      </c>
    </row>
    <row r="9" spans="2:7" s="3" customFormat="1">
      <c r="B9" s="2" t="s">
        <v>61</v>
      </c>
      <c r="C9" s="2" t="s">
        <v>1</v>
      </c>
      <c r="D9" s="3" t="s">
        <v>62</v>
      </c>
      <c r="E9" s="3" t="s">
        <v>63</v>
      </c>
      <c r="F9" s="3" t="s">
        <v>33</v>
      </c>
      <c r="G9" s="3" t="s">
        <v>34</v>
      </c>
    </row>
    <row r="11" spans="2:7" s="3" customFormat="1">
      <c r="B11" s="2" t="s">
        <v>64</v>
      </c>
      <c r="C11" s="2" t="s">
        <v>1</v>
      </c>
      <c r="D11" s="3" t="s">
        <v>33</v>
      </c>
      <c r="E11" s="3" t="s">
        <v>34</v>
      </c>
    </row>
    <row r="13" spans="2:7" s="3" customFormat="1">
      <c r="B13" s="2" t="s">
        <v>65</v>
      </c>
      <c r="C13" s="2" t="s">
        <v>66</v>
      </c>
      <c r="D13" s="2" t="s">
        <v>67</v>
      </c>
    </row>
    <row r="15" spans="2:7" s="3" customFormat="1">
      <c r="B15" s="2" t="s">
        <v>68</v>
      </c>
      <c r="C15" s="3" t="s">
        <v>1</v>
      </c>
      <c r="D15" s="3" t="s">
        <v>69</v>
      </c>
      <c r="E15" s="3" t="s">
        <v>34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A93B2-6978-B84E-A9D8-E2FB98D2112C}">
  <dimension ref="B1:H13"/>
  <sheetViews>
    <sheetView workbookViewId="0">
      <selection activeCell="D11" sqref="D11"/>
    </sheetView>
  </sheetViews>
  <sheetFormatPr baseColWidth="10" defaultRowHeight="16"/>
  <cols>
    <col min="1" max="1" width="9.7109375" bestFit="1" customWidth="1"/>
    <col min="2" max="2" width="27.5703125" bestFit="1" customWidth="1"/>
    <col min="3" max="3" width="15.5703125" bestFit="1" customWidth="1"/>
    <col min="4" max="4" width="20.28515625" bestFit="1" customWidth="1"/>
    <col min="5" max="5" width="23.7109375" bestFit="1" customWidth="1"/>
    <col min="6" max="6" width="13.5703125" customWidth="1"/>
    <col min="7" max="7" width="12.7109375" customWidth="1"/>
    <col min="8" max="8" width="20.28515625" customWidth="1"/>
  </cols>
  <sheetData>
    <row r="1" spans="2:8" s="3" customFormat="1">
      <c r="B1" s="2" t="s">
        <v>70</v>
      </c>
      <c r="C1" s="2" t="s">
        <v>71</v>
      </c>
      <c r="D1" s="3" t="s">
        <v>1</v>
      </c>
      <c r="E1" s="2" t="s">
        <v>72</v>
      </c>
      <c r="F1" s="3" t="s">
        <v>83</v>
      </c>
      <c r="G1" s="3" t="s">
        <v>84</v>
      </c>
      <c r="H1" s="3" t="s">
        <v>34</v>
      </c>
    </row>
    <row r="2" spans="2:8">
      <c r="B2" t="s">
        <v>73</v>
      </c>
      <c r="C2">
        <v>45</v>
      </c>
      <c r="D2" t="s">
        <v>96</v>
      </c>
      <c r="E2">
        <v>1</v>
      </c>
    </row>
    <row r="5" spans="2:8" s="3" customFormat="1">
      <c r="B5" s="2" t="s">
        <v>74</v>
      </c>
      <c r="C5" s="2" t="s">
        <v>1</v>
      </c>
    </row>
    <row r="6" spans="2:8">
      <c r="B6" t="s">
        <v>75</v>
      </c>
      <c r="C6" t="s">
        <v>76</v>
      </c>
    </row>
    <row r="8" spans="2:8" s="3" customFormat="1">
      <c r="B8" s="2" t="s">
        <v>77</v>
      </c>
      <c r="C8" s="2" t="s">
        <v>1</v>
      </c>
      <c r="D8" s="2" t="s">
        <v>78</v>
      </c>
      <c r="E8" s="3" t="s">
        <v>34</v>
      </c>
    </row>
    <row r="10" spans="2:8">
      <c r="B10" t="s">
        <v>79</v>
      </c>
      <c r="C10" t="s">
        <v>96</v>
      </c>
      <c r="D10" t="str">
        <f>C6</f>
        <v>Nation</v>
      </c>
    </row>
    <row r="12" spans="2:8" s="3" customFormat="1">
      <c r="B12" s="2" t="s">
        <v>80</v>
      </c>
      <c r="C12" s="1" t="s">
        <v>19</v>
      </c>
      <c r="D12" s="2" t="s">
        <v>81</v>
      </c>
      <c r="E12" s="3" t="s">
        <v>85</v>
      </c>
    </row>
    <row r="13" spans="2:8">
      <c r="B13" t="s">
        <v>82</v>
      </c>
      <c r="C13" t="str">
        <f>C10</f>
        <v>DK</v>
      </c>
      <c r="D13">
        <f>C2</f>
        <v>45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8909-7DF6-1B4A-B922-CF23C08FA7A6}">
  <dimension ref="B1:F7"/>
  <sheetViews>
    <sheetView workbookViewId="0">
      <selection activeCell="C19" sqref="C19"/>
    </sheetView>
  </sheetViews>
  <sheetFormatPr baseColWidth="10" defaultRowHeight="16"/>
  <cols>
    <col min="1" max="1" width="9.7109375" bestFit="1" customWidth="1"/>
    <col min="2" max="2" width="35.140625" customWidth="1"/>
    <col min="3" max="4" width="35.28515625" bestFit="1" customWidth="1"/>
    <col min="5" max="5" width="22.28515625" bestFit="1" customWidth="1"/>
    <col min="6" max="6" width="18.5703125" bestFit="1" customWidth="1"/>
  </cols>
  <sheetData>
    <row r="1" spans="2:6" s="3" customFormat="1">
      <c r="B1" s="2" t="s">
        <v>86</v>
      </c>
      <c r="C1" s="2" t="s">
        <v>1</v>
      </c>
      <c r="D1" s="3" t="s">
        <v>95</v>
      </c>
      <c r="E1" s="3" t="s">
        <v>33</v>
      </c>
      <c r="F1" s="3" t="s">
        <v>34</v>
      </c>
    </row>
    <row r="3" spans="2:6" s="3" customFormat="1">
      <c r="B3" s="2" t="s">
        <v>87</v>
      </c>
      <c r="C3" s="2" t="s">
        <v>1</v>
      </c>
      <c r="D3" s="3" t="s">
        <v>33</v>
      </c>
      <c r="E3" s="3" t="s">
        <v>34</v>
      </c>
    </row>
    <row r="5" spans="2:6" s="3" customFormat="1">
      <c r="B5" s="2" t="s">
        <v>88</v>
      </c>
      <c r="C5" s="2" t="s">
        <v>89</v>
      </c>
      <c r="D5" s="2" t="s">
        <v>90</v>
      </c>
      <c r="E5" s="2" t="s">
        <v>19</v>
      </c>
      <c r="F5" s="2" t="s">
        <v>91</v>
      </c>
    </row>
    <row r="7" spans="2:6" s="3" customFormat="1">
      <c r="B7" s="2" t="s">
        <v>92</v>
      </c>
      <c r="C7" s="2" t="s">
        <v>90</v>
      </c>
      <c r="D7" s="2" t="s">
        <v>93</v>
      </c>
      <c r="E7" s="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 - Flow Network</vt:lpstr>
      <vt:lpstr>Inputs - Carbon Mass</vt:lpstr>
      <vt:lpstr>Inputs - Categorical</vt:lpstr>
      <vt:lpstr>Inputs - Spatial</vt:lpstr>
      <vt:lpstr>Inputs - 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H. Xie</dc:creator>
  <cp:lastModifiedBy>Sheng H. Xie</cp:lastModifiedBy>
  <dcterms:created xsi:type="dcterms:W3CDTF">2026-01-04T10:59:27Z</dcterms:created>
  <dcterms:modified xsi:type="dcterms:W3CDTF">2026-05-15T04:43:46Z</dcterms:modified>
</cp:coreProperties>
</file>