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hxie/projects/anse-public-releases/models/demo-cbm-hwp/"/>
    </mc:Choice>
  </mc:AlternateContent>
  <xr:revisionPtr revIDLastSave="0" documentId="13_ncr:1_{E3B946D7-90E6-C943-BA8A-31D537D69FE5}" xr6:coauthVersionLast="47" xr6:coauthVersionMax="47" xr10:uidLastSave="{00000000-0000-0000-0000-000000000000}"/>
  <bookViews>
    <workbookView xWindow="0" yWindow="600" windowWidth="32680" windowHeight="21320" tabRatio="500" activeTab="2" xr2:uid="{00000000-000D-0000-FFFF-FFFF00000000}"/>
  </bookViews>
  <sheets>
    <sheet name="Inputs - Flow Network" sheetId="1" r:id="rId1"/>
    <sheet name="Inputs - Landfill Module" sheetId="2" r:id="rId2"/>
    <sheet name="Inputs - Carbon" sheetId="3" r:id="rId3"/>
    <sheet name="Inputs - Tags" sheetId="4" r:id="rId4"/>
    <sheet name="Inputs - Curves" sheetId="5" r:id="rId5"/>
  </sheets>
  <externalReferences>
    <externalReference r:id="rId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5" l="1"/>
  <c r="C22" i="5"/>
  <c r="C21" i="5"/>
  <c r="E19" i="5"/>
  <c r="C19" i="5"/>
  <c r="C18" i="5"/>
  <c r="D14" i="5"/>
  <c r="C14" i="5"/>
  <c r="D13" i="5"/>
  <c r="C13" i="5"/>
  <c r="D19" i="4"/>
  <c r="C19" i="4"/>
  <c r="D17" i="4"/>
  <c r="C17" i="4"/>
  <c r="D16" i="4"/>
  <c r="C16" i="4"/>
  <c r="F37" i="3"/>
  <c r="C37" i="3"/>
  <c r="F36" i="3"/>
  <c r="C36" i="3"/>
  <c r="F35" i="3"/>
  <c r="C35" i="3"/>
  <c r="F34" i="3"/>
  <c r="C34" i="3"/>
  <c r="F33" i="3"/>
  <c r="C33" i="3"/>
  <c r="F32" i="3"/>
  <c r="C32" i="3"/>
  <c r="F31" i="3"/>
  <c r="C31" i="3"/>
  <c r="F30" i="3"/>
  <c r="C30" i="3"/>
  <c r="F29" i="3"/>
  <c r="C29" i="3"/>
  <c r="F28" i="3"/>
  <c r="C28" i="3"/>
  <c r="F27" i="3"/>
  <c r="C27" i="3"/>
  <c r="F26" i="3"/>
  <c r="C26" i="3"/>
  <c r="F25" i="3"/>
  <c r="C25" i="3"/>
  <c r="F24" i="3"/>
  <c r="C24" i="3"/>
  <c r="F23" i="3"/>
  <c r="C23" i="3"/>
  <c r="F22" i="3"/>
  <c r="C22" i="3"/>
  <c r="F21" i="3"/>
  <c r="C21" i="3"/>
  <c r="F20" i="3"/>
  <c r="C20" i="3"/>
  <c r="F19" i="3"/>
  <c r="C19" i="3"/>
  <c r="F18" i="3"/>
  <c r="C18" i="3"/>
  <c r="F17" i="3"/>
  <c r="C17" i="3"/>
  <c r="F16" i="3"/>
  <c r="C16" i="3"/>
  <c r="F15" i="3"/>
  <c r="C15" i="3"/>
  <c r="F14" i="3"/>
  <c r="C14" i="3"/>
  <c r="F13" i="3"/>
  <c r="C13" i="3"/>
  <c r="F12" i="3"/>
  <c r="C12" i="3"/>
  <c r="F11" i="3"/>
  <c r="C11" i="3"/>
  <c r="F10" i="3"/>
  <c r="C10" i="3"/>
  <c r="F9" i="3"/>
  <c r="C9" i="3"/>
  <c r="F8" i="3"/>
  <c r="C8" i="3"/>
  <c r="F7" i="3"/>
  <c r="C7" i="3"/>
  <c r="F6" i="3"/>
  <c r="C6" i="3"/>
  <c r="F5" i="3"/>
  <c r="C5" i="3"/>
  <c r="F4" i="3"/>
  <c r="C4" i="3"/>
  <c r="F3" i="3"/>
  <c r="C3" i="3"/>
  <c r="D112" i="2"/>
  <c r="A112" i="2"/>
  <c r="A111" i="2"/>
  <c r="D110" i="2"/>
  <c r="C110" i="2"/>
  <c r="A110" i="2"/>
  <c r="D109" i="2"/>
  <c r="A109" i="2"/>
  <c r="A108" i="2"/>
  <c r="D107" i="2"/>
  <c r="C107" i="2"/>
  <c r="A107" i="2"/>
  <c r="D106" i="2"/>
  <c r="A106" i="2"/>
  <c r="A105" i="2"/>
  <c r="D104" i="2"/>
  <c r="A104" i="2"/>
  <c r="D103" i="2"/>
  <c r="A103" i="2"/>
  <c r="A102" i="2"/>
  <c r="D101" i="2"/>
  <c r="A101" i="2"/>
  <c r="D100" i="2"/>
  <c r="C100" i="2"/>
  <c r="A100" i="2"/>
  <c r="D99" i="2"/>
  <c r="A99" i="2"/>
  <c r="A98" i="2"/>
  <c r="D97" i="2"/>
  <c r="C97" i="2"/>
  <c r="A97" i="2"/>
  <c r="D96" i="2"/>
  <c r="A96" i="2"/>
  <c r="A95" i="2"/>
  <c r="D94" i="2"/>
  <c r="A94" i="2"/>
  <c r="D93" i="2"/>
  <c r="C93" i="2"/>
  <c r="A93" i="2"/>
  <c r="A92" i="2"/>
  <c r="H91" i="2"/>
  <c r="D91" i="2"/>
  <c r="A91" i="2"/>
  <c r="H90" i="2"/>
  <c r="D90" i="2"/>
  <c r="C90" i="2"/>
  <c r="A90" i="2"/>
  <c r="A89" i="2"/>
  <c r="D88" i="2"/>
  <c r="A88" i="2"/>
  <c r="D87" i="2"/>
  <c r="A87" i="2"/>
  <c r="A86" i="2"/>
  <c r="H85" i="2"/>
  <c r="D85" i="2"/>
  <c r="A85" i="2"/>
  <c r="H84" i="2"/>
  <c r="D84" i="2"/>
  <c r="A84" i="2"/>
  <c r="A83" i="2"/>
  <c r="D82" i="2"/>
  <c r="A82" i="2"/>
  <c r="D81" i="2"/>
  <c r="A81" i="2"/>
  <c r="E75" i="2"/>
  <c r="D75" i="2"/>
  <c r="C75" i="2"/>
  <c r="C112" i="2" s="1"/>
  <c r="A75" i="2"/>
  <c r="E74" i="2"/>
  <c r="D74" i="2"/>
  <c r="C74" i="2"/>
  <c r="A74" i="2"/>
  <c r="A73" i="2"/>
  <c r="E72" i="2"/>
  <c r="D72" i="2"/>
  <c r="C72" i="2"/>
  <c r="A72" i="2"/>
  <c r="E71" i="2"/>
  <c r="D71" i="2"/>
  <c r="C71" i="2"/>
  <c r="C109" i="2" s="1"/>
  <c r="A71" i="2"/>
  <c r="E70" i="2"/>
  <c r="D70" i="2"/>
  <c r="C70" i="2"/>
  <c r="A70" i="2"/>
  <c r="A69" i="2"/>
  <c r="E68" i="2"/>
  <c r="D68" i="2"/>
  <c r="C68" i="2"/>
  <c r="A68" i="2"/>
  <c r="E67" i="2"/>
  <c r="D67" i="2"/>
  <c r="C67" i="2"/>
  <c r="C106" i="2" s="1"/>
  <c r="A67" i="2"/>
  <c r="E66" i="2"/>
  <c r="D66" i="2"/>
  <c r="C66" i="2"/>
  <c r="A66" i="2"/>
  <c r="A65" i="2"/>
  <c r="E64" i="2"/>
  <c r="D64" i="2"/>
  <c r="C64" i="2"/>
  <c r="C104" i="2" s="1"/>
  <c r="A64" i="2"/>
  <c r="E63" i="2"/>
  <c r="D63" i="2"/>
  <c r="C63" i="2"/>
  <c r="C103" i="2" s="1"/>
  <c r="A63" i="2"/>
  <c r="E62" i="2"/>
  <c r="D62" i="2"/>
  <c r="C62" i="2"/>
  <c r="A62" i="2"/>
  <c r="A61" i="2"/>
  <c r="E60" i="2"/>
  <c r="D60" i="2"/>
  <c r="C60" i="2"/>
  <c r="C101" i="2" s="1"/>
  <c r="A60" i="2"/>
  <c r="E59" i="2"/>
  <c r="D59" i="2"/>
  <c r="C59" i="2"/>
  <c r="A59" i="2"/>
  <c r="E58" i="2"/>
  <c r="D58" i="2"/>
  <c r="C58" i="2"/>
  <c r="C99" i="2" s="1"/>
  <c r="A58" i="2"/>
  <c r="E57" i="2"/>
  <c r="D57" i="2"/>
  <c r="C57" i="2"/>
  <c r="A57" i="2"/>
  <c r="A56" i="2"/>
  <c r="E55" i="2"/>
  <c r="D55" i="2"/>
  <c r="C55" i="2"/>
  <c r="A55" i="2"/>
  <c r="E54" i="2"/>
  <c r="D54" i="2"/>
  <c r="C54" i="2"/>
  <c r="C96" i="2" s="1"/>
  <c r="A54" i="2"/>
  <c r="E53" i="2"/>
  <c r="D53" i="2"/>
  <c r="C53" i="2"/>
  <c r="A53" i="2"/>
  <c r="E52" i="2"/>
  <c r="D52" i="2"/>
  <c r="C52" i="2"/>
  <c r="A52" i="2"/>
  <c r="A51" i="2"/>
  <c r="E50" i="2"/>
  <c r="D50" i="2"/>
  <c r="C50" i="2"/>
  <c r="C94" i="2" s="1"/>
  <c r="A50" i="2"/>
  <c r="E49" i="2"/>
  <c r="D49" i="2"/>
  <c r="C49" i="2"/>
  <c r="A49" i="2"/>
  <c r="E48" i="2"/>
  <c r="D48" i="2"/>
  <c r="C48" i="2"/>
  <c r="A48" i="2"/>
  <c r="A47" i="2"/>
  <c r="E46" i="2"/>
  <c r="D46" i="2"/>
  <c r="C46" i="2"/>
  <c r="C88" i="2" s="1"/>
  <c r="A46" i="2"/>
  <c r="E45" i="2"/>
  <c r="D45" i="2"/>
  <c r="C45" i="2"/>
  <c r="C87" i="2" s="1"/>
  <c r="A45" i="2"/>
  <c r="E44" i="2"/>
  <c r="D44" i="2"/>
  <c r="C44" i="2"/>
  <c r="A44" i="2"/>
  <c r="A43" i="2"/>
  <c r="E42" i="2"/>
  <c r="D42" i="2"/>
  <c r="C42" i="2"/>
  <c r="C82" i="2" s="1"/>
  <c r="A42" i="2"/>
  <c r="E41" i="2"/>
  <c r="D41" i="2"/>
  <c r="C41" i="2"/>
  <c r="C81" i="2" s="1"/>
  <c r="A41" i="2"/>
  <c r="E40" i="2"/>
  <c r="D40" i="2"/>
  <c r="C40" i="2"/>
  <c r="A40" i="2"/>
  <c r="A34" i="2"/>
  <c r="A33" i="2"/>
  <c r="A32" i="2"/>
  <c r="A31" i="2"/>
  <c r="A30" i="2"/>
  <c r="A29" i="2"/>
  <c r="A28" i="2"/>
  <c r="A27" i="2"/>
  <c r="A26" i="2"/>
  <c r="A22" i="2"/>
  <c r="A21" i="2"/>
  <c r="A20" i="2"/>
  <c r="A19" i="2"/>
  <c r="A18" i="2"/>
  <c r="A17" i="2"/>
  <c r="A16" i="2"/>
  <c r="A15" i="2"/>
  <c r="E14" i="2"/>
  <c r="A14" i="2"/>
  <c r="E13" i="2"/>
  <c r="A13" i="2"/>
  <c r="A12" i="2"/>
  <c r="A11" i="2"/>
  <c r="A10" i="2"/>
  <c r="A9" i="2"/>
  <c r="A8" i="2"/>
  <c r="A7" i="2"/>
  <c r="D90" i="1"/>
  <c r="D88" i="1"/>
  <c r="D86" i="1"/>
  <c r="A86" i="1"/>
  <c r="D84" i="1"/>
  <c r="D83" i="1"/>
  <c r="C83" i="1"/>
  <c r="D81" i="1"/>
  <c r="D80" i="1"/>
  <c r="D79" i="1"/>
  <c r="G77" i="1"/>
  <c r="D77" i="1"/>
  <c r="G76" i="1"/>
  <c r="D76" i="1"/>
  <c r="G75" i="1"/>
  <c r="D75" i="1"/>
  <c r="G74" i="1"/>
  <c r="D74" i="1"/>
  <c r="G72" i="1"/>
  <c r="D72" i="1"/>
  <c r="G71" i="1"/>
  <c r="D71" i="1"/>
  <c r="G70" i="1"/>
  <c r="D70" i="1"/>
  <c r="G69" i="1"/>
  <c r="D69" i="1"/>
  <c r="G67" i="1"/>
  <c r="F67" i="1"/>
  <c r="D67" i="1"/>
  <c r="G66" i="1"/>
  <c r="F66" i="1"/>
  <c r="D66" i="1"/>
  <c r="G65" i="1"/>
  <c r="F65" i="1"/>
  <c r="D65" i="1"/>
  <c r="E56" i="1"/>
  <c r="D56" i="1"/>
  <c r="C56" i="1"/>
  <c r="C90" i="1" s="1"/>
  <c r="E55" i="1"/>
  <c r="D55" i="1"/>
  <c r="C55" i="1"/>
  <c r="E54" i="1"/>
  <c r="D54" i="1"/>
  <c r="C54" i="1"/>
  <c r="E52" i="1"/>
  <c r="D52" i="1"/>
  <c r="C52" i="1"/>
  <c r="C88" i="1" s="1"/>
  <c r="E51" i="1"/>
  <c r="D51" i="1"/>
  <c r="C51" i="1"/>
  <c r="E49" i="1"/>
  <c r="D49" i="1"/>
  <c r="C49" i="1" a="1"/>
  <c r="C49" i="1" s="1"/>
  <c r="C86" i="1" s="1"/>
  <c r="A49" i="1"/>
  <c r="E48" i="1"/>
  <c r="C48" i="1" a="1"/>
  <c r="C48" i="1" s="1"/>
  <c r="A48" i="1"/>
  <c r="E46" i="1"/>
  <c r="D46" i="1"/>
  <c r="D48" i="1" s="1"/>
  <c r="C46" i="1"/>
  <c r="C84" i="1" s="1"/>
  <c r="E45" i="1"/>
  <c r="D45" i="1"/>
  <c r="C45" i="1"/>
  <c r="E44" i="1"/>
  <c r="D44" i="1"/>
  <c r="C44" i="1"/>
  <c r="E43" i="1"/>
  <c r="D43" i="1"/>
  <c r="C43" i="1"/>
  <c r="E42" i="1"/>
  <c r="D42" i="1"/>
  <c r="C42" i="1"/>
  <c r="E40" i="1"/>
  <c r="D40" i="1"/>
  <c r="C40" i="1"/>
  <c r="C81" i="1" s="1"/>
  <c r="E39" i="1"/>
  <c r="D39" i="1"/>
  <c r="C39" i="1"/>
  <c r="C80" i="1" s="1"/>
  <c r="E38" i="1"/>
  <c r="D38" i="1"/>
  <c r="C38" i="1"/>
  <c r="C79" i="1" s="1"/>
  <c r="E37" i="1"/>
  <c r="D37" i="1"/>
  <c r="C37" i="1"/>
  <c r="E35" i="1"/>
  <c r="D35" i="1"/>
  <c r="C35" i="1"/>
  <c r="E34" i="1"/>
  <c r="D34" i="1"/>
  <c r="C34" i="1"/>
  <c r="E33" i="1"/>
  <c r="D33" i="1"/>
  <c r="C33" i="1"/>
  <c r="E32" i="1"/>
  <c r="D32" i="1"/>
  <c r="C32" i="1"/>
  <c r="C61" i="1" s="1"/>
  <c r="E31" i="1"/>
  <c r="D31" i="1"/>
  <c r="C31" i="1"/>
  <c r="C60" i="1" s="1"/>
  <c r="A24" i="1"/>
  <c r="C69" i="1" l="1"/>
  <c r="C66" i="1"/>
  <c r="C67" i="1"/>
  <c r="C65" i="1"/>
  <c r="C70" i="1"/>
  <c r="C72" i="1"/>
  <c r="C71" i="1"/>
  <c r="C75" i="1"/>
  <c r="C77" i="1"/>
  <c r="C74" i="1"/>
  <c r="C76" i="1"/>
  <c r="D60" i="1"/>
  <c r="D61" i="1"/>
  <c r="C84" i="2"/>
  <c r="C85" i="2"/>
  <c r="C9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tc={A87F309D-2DA6-8244-8251-D0EFF688CDC9}</author>
  </authors>
  <commentList>
    <comment ref="G63" authorId="0" shapeId="0" xr:uid="{A87F309D-2DA6-8244-8251-D0EFF688CD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tc={47D73DAD-0443-5F4C-9A50-DB4EBE56B038}</author>
  </authors>
  <commentList>
    <comment ref="G79" authorId="0" shapeId="0" xr:uid="{47D73DAD-0443-5F4C-9A50-DB4EBE56B0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sharedStrings.xml><?xml version="1.0" encoding="utf-8"?>
<sst xmlns="http://schemas.openxmlformats.org/spreadsheetml/2006/main" count="396" uniqueCount="142">
  <si>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</si>
  <si>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</si>
  <si>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</si>
  <si>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</si>
  <si>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</si>
  <si>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</si>
  <si>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</si>
  <si>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</si>
  <si>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</si>
  <si>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</si>
  <si>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</si>
  <si>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</si>
  <si>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Roundwood</t>
  </si>
  <si>
    <t>Sawnwood</t>
  </si>
  <si>
    <t>IPCC default-sawnwood</t>
  </si>
  <si>
    <t>Panels</t>
  </si>
  <si>
    <t>IPCC default-panels</t>
  </si>
  <si>
    <t>Paper</t>
  </si>
  <si>
    <t>IPCC default-paper</t>
  </si>
  <si>
    <t>Milling Residue</t>
  </si>
  <si>
    <t>Wood pellets</t>
  </si>
  <si>
    <t>Other bioenergy</t>
  </si>
  <si>
    <t>Waste Incineration</t>
  </si>
  <si>
    <t>Solid Waste Disposal Site</t>
  </si>
  <si>
    <t>CO2 Emissions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</si>
  <si>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</si>
  <si>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</si>
  <si>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</si>
  <si>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</si>
  <si>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</si>
  <si>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</si>
  <si>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</si>
  <si>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</si>
  <si>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</si>
  <si>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Manufacturing</t>
  </si>
  <si>
    <t>Residue Valorizing</t>
  </si>
  <si>
    <t>Combusting</t>
  </si>
  <si>
    <t>Post-consumer Processing</t>
  </si>
  <si>
    <t>Landfilling</t>
  </si>
  <si>
    <t>Incinerating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</si>
  <si>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</si>
  <si>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</si>
  <si>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</si>
  <si>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</si>
  <si>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</si>
  <si>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</si>
  <si>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</si>
  <si>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</si>
  <si>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</si>
  <si>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</si>
  <si>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</si>
  <si>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</si>
  <si>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</si>
  <si>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</si>
  <si>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</si>
  <si>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UNIVERSE</t>
  </si>
  <si>
    <t>Keyword: ACTION_PARAMETER_OUT</t>
  </si>
  <si>
    <t>Action_Parameter_Set(Name)</t>
  </si>
  <si>
    <t>Proportion</t>
  </si>
  <si>
    <t>New Physical State Name</t>
  </si>
  <si>
    <t>Note</t>
  </si>
  <si>
    <t>COMMENT</t>
  </si>
  <si>
    <t>ACTION_PARAMETER_OUT</t>
  </si>
  <si>
    <t>This landfill module can be switched on and off as needed</t>
  </si>
  <si>
    <t>Landfill Module ON/OFF Switch</t>
  </si>
  <si>
    <t>ON</t>
  </si>
  <si>
    <t>Aerobic conditions</t>
  </si>
  <si>
    <t>Anaerobic conditions</t>
  </si>
  <si>
    <t>Decomposable</t>
  </si>
  <si>
    <t>Non-decomposable</t>
  </si>
  <si>
    <t>Landfilled Wood, Boreal Wet</t>
  </si>
  <si>
    <t>Landfilled Paper, Boreal Wet</t>
  </si>
  <si>
    <t>CH4 Generated</t>
  </si>
  <si>
    <t>Flared CH4</t>
  </si>
  <si>
    <t>CH4-to-energy</t>
  </si>
  <si>
    <t>Unrecovered CH4</t>
  </si>
  <si>
    <t>CH4 Emissions</t>
  </si>
  <si>
    <t>MCF Factoring</t>
  </si>
  <si>
    <t>DOCf Factoring</t>
  </si>
  <si>
    <t>Climate Zoning</t>
  </si>
  <si>
    <t>F Factoring</t>
  </si>
  <si>
    <t>R Factoring</t>
  </si>
  <si>
    <t>Flaring</t>
  </si>
  <si>
    <t>CH4 Combusting</t>
  </si>
  <si>
    <t>OX Factoring</t>
  </si>
  <si>
    <t>Aerobic Oxidizing</t>
  </si>
  <si>
    <t>the rest is all paper</t>
  </si>
  <si>
    <t>the rest should be all paper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</si>
  <si>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</si>
  <si>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</si>
  <si>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</si>
  <si>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</si>
  <si>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</si>
  <si>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</si>
  <si>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 Age</t>
  </si>
  <si>
    <t>Tag (Name)</t>
  </si>
  <si>
    <t>Is Retained</t>
  </si>
  <si>
    <t>INITIAL_CMO</t>
  </si>
  <si>
    <t>Keyword: PHYSICAL_STATE</t>
  </si>
  <si>
    <t xml:space="preserve">Description </t>
  </si>
  <si>
    <t>PHYSICAL_STATE</t>
  </si>
  <si>
    <t>Bioenergy</t>
  </si>
  <si>
    <t>Keyword: PHYSICAL_STATE_GROUP</t>
  </si>
  <si>
    <t>PHYSICAL_STATE_GROUP</t>
  </si>
  <si>
    <t>Less decomposable wastes</t>
  </si>
  <si>
    <t>Moderately decomposable wastes</t>
  </si>
  <si>
    <t>Keyword: PHYSICAL_STATE_GROUP_MEMBER</t>
  </si>
  <si>
    <t>Group(Name)</t>
  </si>
  <si>
    <t>Physical_State(Name)</t>
  </si>
  <si>
    <t>PHYSICAL_STATE_GROUP_MEMBER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</si>
  <si>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</si>
  <si>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</si>
  <si>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</si>
  <si>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</si>
  <si>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</si>
  <si>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</si>
  <si>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</si>
  <si>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</si>
  <si>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</si>
  <si>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CURVE</t>
  </si>
  <si>
    <t>Usage</t>
  </si>
  <si>
    <t>CURVE</t>
  </si>
  <si>
    <t>Exponential decay, k=0.03</t>
  </si>
  <si>
    <t>Boreal and Temperate, Wet, Wood</t>
  </si>
  <si>
    <t>Exponential decay, k=0.06</t>
  </si>
  <si>
    <t>Boreal and Temperate, Wet, Paper/textiles</t>
  </si>
  <si>
    <t>Keyword: CURVE_TYPE</t>
  </si>
  <si>
    <t>CURVE_TYPE</t>
  </si>
  <si>
    <t>Landfilled Wood Decay Curve</t>
  </si>
  <si>
    <t>Landfilled Paper Decay Curve</t>
  </si>
  <si>
    <t>Keyword: CURVE_TYPE_MEMBER</t>
  </si>
  <si>
    <t>Curve_Type(Name)</t>
  </si>
  <si>
    <t>Curve(Name)</t>
  </si>
  <si>
    <t>Effective start timestep</t>
  </si>
  <si>
    <t>CURVE_TYPE_MEMBER</t>
  </si>
  <si>
    <t>Keyword: CURVE_POINT</t>
  </si>
  <si>
    <t>X_axis (Independent Variable)</t>
  </si>
  <si>
    <t>Y_axis (Dependent Variable)</t>
  </si>
  <si>
    <t>CURVE_POINT</t>
  </si>
  <si>
    <t>Target</t>
  </si>
  <si>
    <t>Physical State Rule</t>
  </si>
  <si>
    <t>Species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</si>
</sst>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HelveticaNeue"/>
      <charset val="1"/>
    </font>
    <font>
      <sz val="12"/>
      <color theme="1"/>
      <name val="Helvetica Neue"/>
      <family val="2"/>
      <charset val="1"/>
    </font>
    <font>
      <b/>
      <sz val="12"/>
      <color theme="1"/>
      <name val="Helvetica Neue"/>
      <family val="2"/>
      <charset val="1"/>
    </font>
    <font>
      <sz val="12"/>
      <color rgb="FF000000"/>
      <name val="Helvetica Neue"/>
      <family val="2"/>
      <charset val="1"/>
    </font>
    <font>
      <b/>
      <sz val="12"/>
      <color theme="1"/>
      <name val="HelveticaNeue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0" fillId="3" borderId="0" xfId="0" applyFill="1"/>
  </cellXfs>
  <cellStyles count="1">
    <cellStyle name="Normal" xfId="0" builtinId="0"/>
  </cellStyles>
  <dxfs count="2"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ostat-canad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H2">
            <v>37127083</v>
          </cell>
        </row>
        <row r="3">
          <cell r="H3">
            <v>36678472</v>
          </cell>
        </row>
        <row r="4">
          <cell r="H4">
            <v>38905955</v>
          </cell>
        </row>
        <row r="5">
          <cell r="H5">
            <v>40348197</v>
          </cell>
        </row>
        <row r="6">
          <cell r="H6">
            <v>41958296</v>
          </cell>
        </row>
        <row r="7">
          <cell r="H7">
            <v>43150928</v>
          </cell>
        </row>
        <row r="8">
          <cell r="H8">
            <v>43483436</v>
          </cell>
        </row>
        <row r="9">
          <cell r="H9">
            <v>43752282</v>
          </cell>
        </row>
        <row r="10">
          <cell r="H10">
            <v>40519718</v>
          </cell>
        </row>
        <row r="11">
          <cell r="H11">
            <v>44400810</v>
          </cell>
        </row>
        <row r="12">
          <cell r="H12">
            <v>46222505</v>
          </cell>
        </row>
        <row r="13">
          <cell r="H13">
            <v>42560337</v>
          </cell>
        </row>
        <row r="14">
          <cell r="H14">
            <v>45359633</v>
          </cell>
        </row>
        <row r="15">
          <cell r="H15">
            <v>41138018</v>
          </cell>
        </row>
        <row r="16">
          <cell r="H16">
            <v>47648717</v>
          </cell>
        </row>
        <row r="17">
          <cell r="H17">
            <v>46514709</v>
          </cell>
        </row>
        <row r="18">
          <cell r="H18">
            <v>42120199</v>
          </cell>
        </row>
        <row r="19">
          <cell r="H19">
            <v>37693171</v>
          </cell>
        </row>
        <row r="20">
          <cell r="H20">
            <v>31885044</v>
          </cell>
        </row>
        <row r="21">
          <cell r="H21">
            <v>26634074</v>
          </cell>
        </row>
        <row r="22">
          <cell r="H22">
            <v>32520977</v>
          </cell>
        </row>
        <row r="23">
          <cell r="H23">
            <v>33932796.350000001</v>
          </cell>
        </row>
        <row r="24">
          <cell r="H24">
            <v>33933907</v>
          </cell>
        </row>
        <row r="25">
          <cell r="H25">
            <v>34825414.534000002</v>
          </cell>
        </row>
        <row r="26">
          <cell r="H26">
            <v>35143340.958999999</v>
          </cell>
        </row>
        <row r="27">
          <cell r="H27">
            <v>35723207.659999996</v>
          </cell>
        </row>
        <row r="28">
          <cell r="H28">
            <v>35894376</v>
          </cell>
        </row>
        <row r="29">
          <cell r="H29">
            <v>35888193</v>
          </cell>
        </row>
        <row r="30">
          <cell r="H30">
            <v>35907843.947999999</v>
          </cell>
        </row>
        <row r="31">
          <cell r="H31">
            <v>32447111.447000001</v>
          </cell>
        </row>
        <row r="32">
          <cell r="H32">
            <v>32663199.739999998</v>
          </cell>
        </row>
        <row r="33">
          <cell r="H33">
            <v>33352126.546</v>
          </cell>
        </row>
        <row r="34">
          <cell r="H34">
            <v>33352126.546</v>
          </cell>
        </row>
        <row r="35">
          <cell r="H35">
            <v>26583833.232000001</v>
          </cell>
        </row>
        <row r="36">
          <cell r="H36">
            <v>26583833.232000001</v>
          </cell>
        </row>
        <row r="38">
          <cell r="H38">
            <v>9100636.3300000001</v>
          </cell>
        </row>
        <row r="74">
          <cell r="H74">
            <v>1575533</v>
          </cell>
        </row>
        <row r="110">
          <cell r="H110">
            <v>6458552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7830C915-9680-1241-ADEE-9FC6CA6DAAF2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3" personId="{7830C915-9680-1241-ADEE-9FC6CA6DAAF2}" id="{A87F309D-2DA6-8244-8251-D0EFF688CDC9}">
    <text xml:space="preserve">The physical state into which the C mass is transformed. Must supply a distinct Physical State here (not Physical State Group)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79" personId="{7830C915-9680-1241-ADEE-9FC6CA6DAAF2}" id="{47D73DAD-0443-5F4C-9A50-DB4EBE56B038}">
    <text xml:space="preserve">The physical state into which the C mass is transformed. Must supply a distinct Physical State here (not Physical State Group)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zoomScale="60" zoomScaleNormal="60" workbookViewId="0">
      <selection activeCell="H73" sqref="H73"/>
    </sheetView>
  </sheetViews>
  <sheetFormatPr baseColWidth="10" defaultColWidth="7.5703125" defaultRowHeight="15.75" customHeight="1"/>
  <cols>
    <col min="1" max="1" width="13.140625" style="1" customWidth="1"/>
    <col min="2" max="2" width="33.140625" style="1" customWidth="1"/>
    <col min="3" max="3" width="34.5703125" style="1" customWidth="1"/>
    <col min="4" max="4" width="26.5703125" style="1" customWidth="1"/>
    <col min="5" max="5" width="28" style="1" customWidth="1"/>
    <col min="6" max="6" width="30.140625" style="1" customWidth="1"/>
    <col min="7" max="7" width="26.7109375" style="1" customWidth="1"/>
    <col min="8" max="8" width="34.42578125" style="1" customWidth="1"/>
    <col min="9" max="9" width="26.5703125" style="1" customWidth="1"/>
    <col min="10" max="10" width="30" style="1" customWidth="1"/>
    <col min="11" max="11" width="18.140625" style="1" customWidth="1"/>
    <col min="12" max="12" width="31.42578125" style="1" customWidth="1"/>
    <col min="13" max="16384" width="7.5703125" style="1"/>
  </cols>
  <sheetData>
    <row r="1" spans="2:12" s="2" customFormat="1" ht="15.75" customHeight="1">
      <c r="B1" s="3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3" spans="2:12" ht="15.75" customHeight="1">
      <c r="B3" s="1" t="s">
        <v>11</v>
      </c>
      <c r="C3" s="1" t="s">
        <v>12</v>
      </c>
    </row>
    <row r="4" spans="2:12" ht="15.75" customHeight="1">
      <c r="B4" s="1" t="s">
        <v>11</v>
      </c>
      <c r="C4" s="1" t="s">
        <v>13</v>
      </c>
      <c r="E4" s="1" t="s">
        <v>14</v>
      </c>
    </row>
    <row r="5" spans="2:12" ht="15.75" customHeight="1">
      <c r="B5" s="1" t="s">
        <v>11</v>
      </c>
      <c r="C5" s="1" t="s">
        <v>15</v>
      </c>
      <c r="E5" s="1" t="s">
        <v>16</v>
      </c>
    </row>
    <row r="6" spans="2:12" ht="15.75" customHeight="1">
      <c r="B6" s="1" t="s">
        <v>11</v>
      </c>
      <c r="C6" s="1" t="s">
        <v>17</v>
      </c>
      <c r="E6" s="1" t="s">
        <v>18</v>
      </c>
    </row>
    <row r="8" spans="2:12" ht="15.75" customHeight="1">
      <c r="B8" s="1" t="s">
        <v>11</v>
      </c>
      <c r="C8" s="4" t="s">
        <v>19</v>
      </c>
    </row>
    <row r="9" spans="2:12" ht="15.75" customHeight="1">
      <c r="C9" s="4"/>
    </row>
    <row r="10" spans="2:12" ht="15.75" customHeight="1">
      <c r="B10" s="1" t="s">
        <v>11</v>
      </c>
      <c r="C10" s="4" t="s">
        <v>20</v>
      </c>
    </row>
    <row r="11" spans="2:12" ht="15.75" customHeight="1">
      <c r="B11" s="1" t="s">
        <v>11</v>
      </c>
      <c r="C11" s="1" t="s">
        <v>21</v>
      </c>
    </row>
    <row r="13" spans="2:12" ht="15.75" customHeight="1">
      <c r="B13" s="1" t="s">
        <v>11</v>
      </c>
      <c r="C13" s="1" t="s">
        <v>22</v>
      </c>
    </row>
    <row r="14" spans="2:12" ht="15.75" customHeight="1">
      <c r="B14" s="1" t="s">
        <v>11</v>
      </c>
      <c r="C14" s="1" t="s">
        <v>23</v>
      </c>
    </row>
    <row r="16" spans="2:12" ht="15.75" customHeight="1">
      <c r="B16" s="1" t="s">
        <v>11</v>
      </c>
      <c r="C16" s="1" t="s">
        <v>24</v>
      </c>
    </row>
    <row r="18" spans="1:12" s="2" customFormat="1" ht="15.75" customHeight="1">
      <c r="B18" s="3" t="s">
        <v>25</v>
      </c>
      <c r="C18" s="3" t="s">
        <v>1</v>
      </c>
      <c r="D18" s="2" t="s">
        <v>26</v>
      </c>
      <c r="E18" s="2" t="s">
        <v>2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32</v>
      </c>
      <c r="L18" s="2" t="s">
        <v>10</v>
      </c>
    </row>
    <row r="20" spans="1:12" ht="15.75" customHeight="1">
      <c r="B20" s="1" t="s">
        <v>33</v>
      </c>
      <c r="C20" s="1" t="s">
        <v>34</v>
      </c>
    </row>
    <row r="21" spans="1:12" ht="15.75" customHeight="1">
      <c r="B21" s="1" t="s">
        <v>33</v>
      </c>
      <c r="C21" s="1" t="s">
        <v>35</v>
      </c>
    </row>
    <row r="22" spans="1:12" ht="15.75" customHeight="1">
      <c r="B22" s="1" t="s">
        <v>33</v>
      </c>
      <c r="C22" s="1" t="s">
        <v>36</v>
      </c>
    </row>
    <row r="23" spans="1:12" ht="15.75" customHeight="1">
      <c r="B23" s="1" t="s">
        <v>33</v>
      </c>
      <c r="C23" s="1" t="s">
        <v>37</v>
      </c>
    </row>
    <row r="24" spans="1:12" ht="15.75" customHeight="1">
      <c r="A24" s="1" t="str">
        <f>IF('Inputs - Landfill Module'!$C$3="OFF","","COMMENT")</f>
        <v>COMMENT</v>
      </c>
      <c r="B24" s="1" t="s">
        <v>33</v>
      </c>
      <c r="C24" s="1" t="s">
        <v>38</v>
      </c>
    </row>
    <row r="25" spans="1:12" ht="15.75" customHeight="1">
      <c r="B25" s="1" t="s">
        <v>33</v>
      </c>
      <c r="C25" s="1" t="s">
        <v>39</v>
      </c>
    </row>
    <row r="27" spans="1:12" s="2" customFormat="1" ht="15.75" customHeight="1">
      <c r="B27" s="3" t="s">
        <v>40</v>
      </c>
      <c r="C27" s="3" t="s">
        <v>41</v>
      </c>
    </row>
    <row r="29" spans="1:12" s="2" customFormat="1" ht="15.75" customHeight="1">
      <c r="B29" s="3" t="s">
        <v>42</v>
      </c>
      <c r="C29" s="3" t="s">
        <v>43</v>
      </c>
      <c r="D29" s="3" t="s">
        <v>44</v>
      </c>
      <c r="E29" s="3" t="s">
        <v>45</v>
      </c>
      <c r="F29" s="3" t="s">
        <v>46</v>
      </c>
      <c r="G29" s="2" t="s">
        <v>47</v>
      </c>
    </row>
    <row r="31" spans="1:12" ht="15.75" customHeight="1">
      <c r="B31" s="1" t="s">
        <v>48</v>
      </c>
      <c r="C31" s="1" t="str">
        <f>$C$20</f>
        <v>Manufacturing</v>
      </c>
      <c r="D31" s="1" t="str">
        <f>C3</f>
        <v>Roundwood</v>
      </c>
      <c r="E31" s="1" t="b">
        <f>TRUE()</f>
        <v>1</v>
      </c>
      <c r="F31" s="1">
        <v>1</v>
      </c>
    </row>
    <row r="32" spans="1:12" ht="15.75" customHeight="1">
      <c r="B32" s="1" t="s">
        <v>48</v>
      </c>
      <c r="C32" s="1" t="str">
        <f>$C$20</f>
        <v>Manufacturing</v>
      </c>
      <c r="D32" s="1" t="str">
        <f>C4</f>
        <v>Sawnwood</v>
      </c>
      <c r="E32" s="1" t="b">
        <f>FALSE()</f>
        <v>0</v>
      </c>
      <c r="F32" s="1">
        <v>1</v>
      </c>
    </row>
    <row r="33" spans="1:6" ht="15.75" customHeight="1">
      <c r="B33" s="1" t="s">
        <v>48</v>
      </c>
      <c r="C33" s="1" t="str">
        <f>$C$20</f>
        <v>Manufacturing</v>
      </c>
      <c r="D33" s="1" t="str">
        <f>C5</f>
        <v>Panels</v>
      </c>
      <c r="E33" s="1" t="b">
        <f>FALSE()</f>
        <v>0</v>
      </c>
      <c r="F33" s="1">
        <v>2</v>
      </c>
    </row>
    <row r="34" spans="1:6" ht="15.75" customHeight="1">
      <c r="B34" s="1" t="s">
        <v>48</v>
      </c>
      <c r="C34" s="1" t="str">
        <f>$C$20</f>
        <v>Manufacturing</v>
      </c>
      <c r="D34" s="1" t="str">
        <f>C6</f>
        <v>Paper</v>
      </c>
      <c r="E34" s="1" t="b">
        <f>FALSE()</f>
        <v>0</v>
      </c>
      <c r="F34" s="1">
        <v>3</v>
      </c>
    </row>
    <row r="35" spans="1:6" ht="15.75" customHeight="1">
      <c r="B35" s="1" t="s">
        <v>48</v>
      </c>
      <c r="C35" s="1" t="str">
        <f>$C$20</f>
        <v>Manufacturing</v>
      </c>
      <c r="D35" s="1" t="str">
        <f>C8</f>
        <v>Milling Residue</v>
      </c>
      <c r="E35" s="1" t="b">
        <f>FALSE()</f>
        <v>0</v>
      </c>
      <c r="F35" s="1">
        <v>4</v>
      </c>
    </row>
    <row r="37" spans="1:6" ht="15.75" customHeight="1">
      <c r="B37" s="1" t="s">
        <v>48</v>
      </c>
      <c r="C37" s="1" t="str">
        <f>$C$21</f>
        <v>Residue Valorizing</v>
      </c>
      <c r="D37" s="1" t="str">
        <f>C8</f>
        <v>Milling Residue</v>
      </c>
      <c r="E37" s="1" t="b">
        <f>TRUE()</f>
        <v>1</v>
      </c>
      <c r="F37" s="1">
        <v>1</v>
      </c>
    </row>
    <row r="38" spans="1:6" ht="15.75" customHeight="1">
      <c r="B38" s="1" t="s">
        <v>48</v>
      </c>
      <c r="C38" s="1" t="str">
        <f>$C$21</f>
        <v>Residue Valorizing</v>
      </c>
      <c r="D38" s="1" t="str">
        <f>C10</f>
        <v>Wood pellets</v>
      </c>
      <c r="E38" s="1" t="b">
        <f>FALSE()</f>
        <v>0</v>
      </c>
      <c r="F38" s="1">
        <v>1</v>
      </c>
    </row>
    <row r="39" spans="1:6" ht="15.75" customHeight="1">
      <c r="B39" s="1" t="s">
        <v>48</v>
      </c>
      <c r="C39" s="1" t="str">
        <f>$C$21</f>
        <v>Residue Valorizing</v>
      </c>
      <c r="D39" s="1" t="str">
        <f>C11</f>
        <v>Other bioenergy</v>
      </c>
      <c r="E39" s="1" t="b">
        <f>FALSE()</f>
        <v>0</v>
      </c>
      <c r="F39" s="1">
        <v>2</v>
      </c>
    </row>
    <row r="40" spans="1:6" ht="15.75" customHeight="1">
      <c r="B40" s="1" t="s">
        <v>48</v>
      </c>
      <c r="C40" s="1" t="str">
        <f>$C$21</f>
        <v>Residue Valorizing</v>
      </c>
      <c r="D40" s="1" t="str">
        <f>C14</f>
        <v>Solid Waste Disposal Site</v>
      </c>
      <c r="E40" s="1" t="b">
        <f>FALSE()</f>
        <v>0</v>
      </c>
      <c r="F40" s="1">
        <v>3</v>
      </c>
    </row>
    <row r="42" spans="1:6" ht="15.75" customHeight="1">
      <c r="B42" s="1" t="s">
        <v>48</v>
      </c>
      <c r="C42" s="1" t="str">
        <f>$C$23</f>
        <v>Post-consumer Processing</v>
      </c>
      <c r="D42" s="1" t="str">
        <f>C4</f>
        <v>Sawnwood</v>
      </c>
      <c r="E42" s="1" t="b">
        <f>TRUE()</f>
        <v>1</v>
      </c>
      <c r="F42" s="1">
        <v>1</v>
      </c>
    </row>
    <row r="43" spans="1:6" ht="15.75" customHeight="1">
      <c r="B43" s="1" t="s">
        <v>48</v>
      </c>
      <c r="C43" s="1" t="str">
        <f>$C$23</f>
        <v>Post-consumer Processing</v>
      </c>
      <c r="D43" s="1" t="str">
        <f>C5</f>
        <v>Panels</v>
      </c>
      <c r="E43" s="1" t="b">
        <f>TRUE()</f>
        <v>1</v>
      </c>
      <c r="F43" s="1">
        <v>2</v>
      </c>
    </row>
    <row r="44" spans="1:6" ht="15.75" customHeight="1">
      <c r="B44" s="1" t="s">
        <v>48</v>
      </c>
      <c r="C44" s="1" t="str">
        <f>$C$23</f>
        <v>Post-consumer Processing</v>
      </c>
      <c r="D44" s="1" t="str">
        <f>C6</f>
        <v>Paper</v>
      </c>
      <c r="E44" s="1" t="b">
        <f>TRUE()</f>
        <v>1</v>
      </c>
      <c r="F44" s="1">
        <v>3</v>
      </c>
    </row>
    <row r="45" spans="1:6" ht="15.75" customHeight="1">
      <c r="B45" s="1" t="s">
        <v>48</v>
      </c>
      <c r="C45" s="1" t="str">
        <f>$C$23</f>
        <v>Post-consumer Processing</v>
      </c>
      <c r="D45" s="1" t="str">
        <f>C13</f>
        <v>Waste Incineration</v>
      </c>
      <c r="E45" s="1" t="b">
        <f>FALSE()</f>
        <v>0</v>
      </c>
      <c r="F45" s="1">
        <v>1</v>
      </c>
    </row>
    <row r="46" spans="1:6" ht="15.75" customHeight="1">
      <c r="B46" s="1" t="s">
        <v>48</v>
      </c>
      <c r="C46" s="1" t="str">
        <f>$C$23</f>
        <v>Post-consumer Processing</v>
      </c>
      <c r="D46" s="1" t="str">
        <f>C14</f>
        <v>Solid Waste Disposal Site</v>
      </c>
      <c r="E46" s="1" t="b">
        <f>FALSE()</f>
        <v>0</v>
      </c>
      <c r="F46" s="1">
        <v>2</v>
      </c>
    </row>
    <row r="48" spans="1:6" ht="15.75" customHeight="1">
      <c r="A48" s="1" t="str">
        <f>IF('Inputs - Landfill Module'!$C$3="OFF","","COMMENT")</f>
        <v>COMMENT</v>
      </c>
      <c r="B48" s="1" t="s">
        <v>48</v>
      </c>
      <c r="C48" s="1" t="str">
        <f t="array" ref="C48">$C$24</f>
        <v>Landfilling</v>
      </c>
      <c r="D48" s="1" t="str">
        <f>D46</f>
        <v>Solid Waste Disposal Site</v>
      </c>
      <c r="E48" s="1" t="b">
        <f>TRUE()</f>
        <v>1</v>
      </c>
      <c r="F48" s="1">
        <v>1</v>
      </c>
    </row>
    <row r="49" spans="1:10" ht="15.75" customHeight="1">
      <c r="A49" s="1" t="str">
        <f>IF('Inputs - Landfill Module'!$C$3="OFF","","COMMENT")</f>
        <v>COMMENT</v>
      </c>
      <c r="B49" s="1" t="s">
        <v>48</v>
      </c>
      <c r="C49" s="1" t="str">
        <f t="array" ref="C49">$C$24</f>
        <v>Landfilling</v>
      </c>
      <c r="D49" s="1" t="str">
        <f>C16</f>
        <v>CO2 Emissions</v>
      </c>
      <c r="E49" s="1" t="b">
        <f>FALSE()</f>
        <v>0</v>
      </c>
      <c r="F49" s="1">
        <v>1</v>
      </c>
    </row>
    <row r="51" spans="1:10" ht="15.75" customHeight="1">
      <c r="B51" s="1" t="s">
        <v>48</v>
      </c>
      <c r="C51" s="1" t="str">
        <f>$C$25</f>
        <v>Incinerating</v>
      </c>
      <c r="D51" s="1" t="str">
        <f>C13</f>
        <v>Waste Incineration</v>
      </c>
      <c r="E51" s="1" t="b">
        <f>TRUE()</f>
        <v>1</v>
      </c>
      <c r="F51" s="1">
        <v>1</v>
      </c>
    </row>
    <row r="52" spans="1:10" ht="15.75" customHeight="1">
      <c r="B52" s="1" t="s">
        <v>48</v>
      </c>
      <c r="C52" s="1" t="str">
        <f>$C$25</f>
        <v>Incinerating</v>
      </c>
      <c r="D52" s="1" t="str">
        <f>C16</f>
        <v>CO2 Emissions</v>
      </c>
      <c r="E52" s="1" t="b">
        <f>FALSE()</f>
        <v>0</v>
      </c>
      <c r="F52" s="1">
        <v>1</v>
      </c>
    </row>
    <row r="54" spans="1:10" ht="15.75" customHeight="1">
      <c r="B54" s="1" t="s">
        <v>48</v>
      </c>
      <c r="C54" s="1" t="str">
        <f>$C$22</f>
        <v>Combusting</v>
      </c>
      <c r="D54" s="1" t="str">
        <f>C10</f>
        <v>Wood pellets</v>
      </c>
      <c r="E54" s="1" t="b">
        <f>TRUE()</f>
        <v>1</v>
      </c>
      <c r="F54" s="1">
        <v>1</v>
      </c>
    </row>
    <row r="55" spans="1:10" ht="15.75" customHeight="1">
      <c r="B55" s="1" t="s">
        <v>48</v>
      </c>
      <c r="C55" s="1" t="str">
        <f>$C$22</f>
        <v>Combusting</v>
      </c>
      <c r="D55" s="1" t="str">
        <f>C11</f>
        <v>Other bioenergy</v>
      </c>
      <c r="E55" s="1" t="b">
        <f>TRUE()</f>
        <v>1</v>
      </c>
      <c r="F55" s="1">
        <v>2</v>
      </c>
    </row>
    <row r="56" spans="1:10" ht="15.75" customHeight="1">
      <c r="B56" s="1" t="s">
        <v>48</v>
      </c>
      <c r="C56" s="1" t="str">
        <f>$C$22</f>
        <v>Combusting</v>
      </c>
      <c r="D56" s="1" t="str">
        <f>C16</f>
        <v>CO2 Emissions</v>
      </c>
      <c r="E56" s="1" t="b">
        <f>FALSE()</f>
        <v>0</v>
      </c>
      <c r="F56" s="1">
        <v>1</v>
      </c>
    </row>
    <row r="58" spans="1:10" s="2" customFormat="1" ht="15.75" customHeight="1">
      <c r="B58" s="3" t="s">
        <v>49</v>
      </c>
      <c r="C58" s="3" t="s">
        <v>1</v>
      </c>
      <c r="D58" s="3" t="s">
        <v>50</v>
      </c>
      <c r="E58" s="3" t="s">
        <v>32</v>
      </c>
      <c r="F58" s="2" t="s">
        <v>51</v>
      </c>
      <c r="G58" s="2" t="s">
        <v>52</v>
      </c>
      <c r="H58" s="2" t="s">
        <v>53</v>
      </c>
    </row>
    <row r="60" spans="1:10" ht="15.75" customHeight="1">
      <c r="B60" s="1" t="s">
        <v>54</v>
      </c>
      <c r="C60" s="1" t="str">
        <f>C31 &amp; ", 1990"</f>
        <v>Manufacturing, 1990</v>
      </c>
      <c r="D60" s="1" t="str">
        <f>C31</f>
        <v>Manufacturing</v>
      </c>
      <c r="E60" s="1" t="s">
        <v>55</v>
      </c>
      <c r="F60" s="1">
        <v>1990</v>
      </c>
    </row>
    <row r="61" spans="1:10" ht="15.75" customHeight="1">
      <c r="B61" s="1" t="s">
        <v>54</v>
      </c>
      <c r="C61" s="1" t="str">
        <f>C32 &amp; ", 1991"</f>
        <v>Manufacturing, 1991</v>
      </c>
      <c r="D61" s="1" t="str">
        <f>C31</f>
        <v>Manufacturing</v>
      </c>
      <c r="E61" s="1" t="s">
        <v>55</v>
      </c>
      <c r="F61" s="1">
        <v>1991</v>
      </c>
    </row>
    <row r="63" spans="1:10" s="2" customFormat="1" ht="15.75" customHeight="1">
      <c r="B63" s="3" t="s">
        <v>56</v>
      </c>
      <c r="C63" s="3" t="s">
        <v>57</v>
      </c>
      <c r="D63" s="3" t="s">
        <v>46</v>
      </c>
      <c r="E63" s="3" t="s">
        <v>58</v>
      </c>
      <c r="F63" s="8" t="s">
        <v>139</v>
      </c>
      <c r="G63" s="8" t="s">
        <v>59</v>
      </c>
      <c r="H63" s="8" t="s">
        <v>140</v>
      </c>
      <c r="I63" s="8" t="s">
        <v>141</v>
      </c>
      <c r="J63" s="2" t="s">
        <v>60</v>
      </c>
    </row>
    <row r="65" spans="1:7" ht="15.75" customHeight="1">
      <c r="A65" s="1" t="s">
        <v>61</v>
      </c>
      <c r="B65" s="1" t="s">
        <v>62</v>
      </c>
      <c r="C65" s="1" t="str">
        <f>C60</f>
        <v>Manufacturing, 1990</v>
      </c>
      <c r="D65" s="1">
        <f>F32</f>
        <v>1</v>
      </c>
      <c r="F65" s="1">
        <f>[1]Sheet1!$H$38</f>
        <v>9100636.3300000001</v>
      </c>
      <c r="G65" s="1" t="str">
        <f>'Inputs - Tags'!C4</f>
        <v>Sawnwood</v>
      </c>
    </row>
    <row r="66" spans="1:7" ht="15.75" customHeight="1">
      <c r="A66" s="1" t="s">
        <v>61</v>
      </c>
      <c r="B66" s="1" t="s">
        <v>62</v>
      </c>
      <c r="C66" s="1" t="str">
        <f>C60</f>
        <v>Manufacturing, 1990</v>
      </c>
      <c r="D66" s="1">
        <f>F33</f>
        <v>2</v>
      </c>
      <c r="F66" s="1">
        <f>[1]Sheet1!$H$74</f>
        <v>1575533</v>
      </c>
      <c r="G66" s="1" t="str">
        <f>'Inputs - Tags'!C5</f>
        <v>Panels</v>
      </c>
    </row>
    <row r="67" spans="1:7" ht="15.75" customHeight="1">
      <c r="A67" s="1" t="s">
        <v>61</v>
      </c>
      <c r="B67" s="1" t="s">
        <v>62</v>
      </c>
      <c r="C67" s="1" t="str">
        <f>C60</f>
        <v>Manufacturing, 1990</v>
      </c>
      <c r="D67" s="1">
        <f>F34</f>
        <v>3</v>
      </c>
      <c r="F67" s="1">
        <f>[1]Sheet1!$H$110</f>
        <v>6458552</v>
      </c>
      <c r="G67" s="1" t="str">
        <f>'Inputs - Tags'!C6</f>
        <v>Paper</v>
      </c>
    </row>
    <row r="69" spans="1:7" ht="15.75" customHeight="1">
      <c r="B69" s="1" t="s">
        <v>62</v>
      </c>
      <c r="C69" s="1" t="str">
        <f>$C$60</f>
        <v>Manufacturing, 1990</v>
      </c>
      <c r="D69" s="1">
        <f>F32</f>
        <v>1</v>
      </c>
      <c r="E69" s="1">
        <v>0.35</v>
      </c>
      <c r="G69" s="1" t="str">
        <f>'Inputs - Tags'!C4</f>
        <v>Sawnwood</v>
      </c>
    </row>
    <row r="70" spans="1:7" ht="15.75" customHeight="1">
      <c r="B70" s="1" t="s">
        <v>62</v>
      </c>
      <c r="C70" s="1" t="str">
        <f>$C$60</f>
        <v>Manufacturing, 1990</v>
      </c>
      <c r="D70" s="1">
        <f>F33</f>
        <v>2</v>
      </c>
      <c r="E70" s="1">
        <v>0.05</v>
      </c>
      <c r="G70" s="1" t="str">
        <f>'Inputs - Tags'!C5</f>
        <v>Panels</v>
      </c>
    </row>
    <row r="71" spans="1:7" ht="15.75" customHeight="1">
      <c r="B71" s="1" t="s">
        <v>62</v>
      </c>
      <c r="C71" s="1" t="str">
        <f>$C$60</f>
        <v>Manufacturing, 1990</v>
      </c>
      <c r="D71" s="1">
        <f>F34</f>
        <v>3</v>
      </c>
      <c r="E71" s="1">
        <v>0.2</v>
      </c>
      <c r="G71" s="1" t="str">
        <f>'Inputs - Tags'!C6</f>
        <v>Paper</v>
      </c>
    </row>
    <row r="72" spans="1:7" ht="15.75" customHeight="1">
      <c r="B72" s="1" t="s">
        <v>62</v>
      </c>
      <c r="C72" s="1" t="str">
        <f>$C$60</f>
        <v>Manufacturing, 1990</v>
      </c>
      <c r="D72" s="1">
        <f>F35</f>
        <v>4</v>
      </c>
      <c r="E72" s="1">
        <v>0.4</v>
      </c>
      <c r="G72" s="1" t="str">
        <f>'Inputs - Tags'!C7</f>
        <v>Bioenergy</v>
      </c>
    </row>
    <row r="74" spans="1:7" ht="15.75" customHeight="1">
      <c r="B74" s="1" t="s">
        <v>62</v>
      </c>
      <c r="C74" s="1" t="str">
        <f>$C$61</f>
        <v>Manufacturing, 1991</v>
      </c>
      <c r="D74" s="1">
        <f>F32</f>
        <v>1</v>
      </c>
      <c r="E74" s="1">
        <v>0.8</v>
      </c>
      <c r="G74" s="1" t="str">
        <f>'Inputs - Tags'!C4</f>
        <v>Sawnwood</v>
      </c>
    </row>
    <row r="75" spans="1:7" ht="15.75" customHeight="1">
      <c r="B75" s="1" t="s">
        <v>62</v>
      </c>
      <c r="C75" s="1" t="str">
        <f>$C$61</f>
        <v>Manufacturing, 1991</v>
      </c>
      <c r="D75" s="1">
        <f>F33</f>
        <v>2</v>
      </c>
      <c r="E75" s="1">
        <v>0.1</v>
      </c>
      <c r="G75" s="1" t="str">
        <f>'Inputs - Tags'!C5</f>
        <v>Panels</v>
      </c>
    </row>
    <row r="76" spans="1:7" ht="15.75" customHeight="1">
      <c r="B76" s="1" t="s">
        <v>62</v>
      </c>
      <c r="C76" s="1" t="str">
        <f>$C$61</f>
        <v>Manufacturing, 1991</v>
      </c>
      <c r="D76" s="1">
        <f>F34</f>
        <v>3</v>
      </c>
      <c r="E76" s="1">
        <v>0.1</v>
      </c>
      <c r="G76" s="1" t="str">
        <f>'Inputs - Tags'!C6</f>
        <v>Paper</v>
      </c>
    </row>
    <row r="77" spans="1:7" ht="15.75" customHeight="1">
      <c r="B77" s="1" t="s">
        <v>62</v>
      </c>
      <c r="C77" s="1" t="str">
        <f>$C$61</f>
        <v>Manufacturing, 1991</v>
      </c>
      <c r="D77" s="1">
        <f>F35</f>
        <v>4</v>
      </c>
      <c r="E77" s="1">
        <v>0</v>
      </c>
      <c r="G77" s="1" t="str">
        <f>'Inputs - Tags'!C7</f>
        <v>Bioenergy</v>
      </c>
    </row>
    <row r="79" spans="1:7" ht="15.75" customHeight="1">
      <c r="B79" s="1" t="s">
        <v>62</v>
      </c>
      <c r="C79" s="1" t="str">
        <f>C38</f>
        <v>Residue Valorizing</v>
      </c>
      <c r="D79" s="1">
        <f>F38</f>
        <v>1</v>
      </c>
      <c r="E79" s="1">
        <v>0.25</v>
      </c>
    </row>
    <row r="80" spans="1:7" ht="15.75" customHeight="1">
      <c r="B80" s="1" t="s">
        <v>62</v>
      </c>
      <c r="C80" s="1" t="str">
        <f>C39</f>
        <v>Residue Valorizing</v>
      </c>
      <c r="D80" s="1">
        <f>F39</f>
        <v>2</v>
      </c>
      <c r="E80" s="1">
        <v>0.75</v>
      </c>
    </row>
    <row r="81" spans="1:5" ht="15.75" customHeight="1">
      <c r="B81" s="1" t="s">
        <v>62</v>
      </c>
      <c r="C81" s="1" t="str">
        <f>C40</f>
        <v>Residue Valorizing</v>
      </c>
      <c r="D81" s="1">
        <f>F40</f>
        <v>3</v>
      </c>
      <c r="E81" s="1">
        <v>0</v>
      </c>
    </row>
    <row r="83" spans="1:5" ht="15.75" customHeight="1">
      <c r="B83" s="1" t="s">
        <v>62</v>
      </c>
      <c r="C83" s="1" t="str">
        <f>C45</f>
        <v>Post-consumer Processing</v>
      </c>
      <c r="D83" s="1">
        <f>F45</f>
        <v>1</v>
      </c>
      <c r="E83" s="1">
        <v>0</v>
      </c>
    </row>
    <row r="84" spans="1:5" ht="15.75" customHeight="1">
      <c r="B84" s="1" t="s">
        <v>62</v>
      </c>
      <c r="C84" s="1" t="str">
        <f>C46</f>
        <v>Post-consumer Processing</v>
      </c>
      <c r="D84" s="1">
        <f>F46</f>
        <v>2</v>
      </c>
      <c r="E84" s="1">
        <v>1</v>
      </c>
    </row>
    <row r="86" spans="1:5" ht="15.75" customHeight="1">
      <c r="A86" s="1" t="str">
        <f>IF('Inputs - Landfill Module'!$C$3="OFF","","COMMENT")</f>
        <v>COMMENT</v>
      </c>
      <c r="B86" s="1" t="s">
        <v>62</v>
      </c>
      <c r="C86" s="1" t="str">
        <f>$C$49</f>
        <v>Landfilling</v>
      </c>
      <c r="D86" s="1">
        <f>F49</f>
        <v>1</v>
      </c>
      <c r="E86" s="1">
        <v>1</v>
      </c>
    </row>
    <row r="88" spans="1:5" ht="15.75" customHeight="1">
      <c r="B88" s="1" t="s">
        <v>62</v>
      </c>
      <c r="C88" s="1" t="str">
        <f>C52</f>
        <v>Incinerating</v>
      </c>
      <c r="D88" s="1">
        <f>F52</f>
        <v>1</v>
      </c>
      <c r="E88" s="1">
        <v>1</v>
      </c>
    </row>
    <row r="90" spans="1:5" ht="15.75" customHeight="1">
      <c r="B90" s="1" t="s">
        <v>62</v>
      </c>
      <c r="C90" s="1" t="str">
        <f>C56</f>
        <v>Combusting</v>
      </c>
      <c r="D90" s="1">
        <f>F56</f>
        <v>1</v>
      </c>
      <c r="E90" s="1">
        <v>1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20"/>
  <sheetViews>
    <sheetView topLeftCell="A32" zoomScale="60" zoomScaleNormal="60" workbookViewId="0">
      <selection activeCell="F79" sqref="F79:I79"/>
    </sheetView>
  </sheetViews>
  <sheetFormatPr baseColWidth="10" defaultColWidth="10.42578125" defaultRowHeight="16"/>
  <cols>
    <col min="2" max="2" width="32.42578125" customWidth="1"/>
    <col min="3" max="3" width="26.42578125" customWidth="1"/>
    <col min="4" max="4" width="24.7109375" customWidth="1"/>
    <col min="5" max="5" width="27.28515625" customWidth="1"/>
    <col min="6" max="6" width="26.5703125" customWidth="1"/>
    <col min="7" max="7" width="24.42578125" customWidth="1"/>
    <col min="8" max="8" width="29.28515625" customWidth="1"/>
    <col min="9" max="9" width="24.28515625" customWidth="1"/>
    <col min="10" max="10" width="23.140625" customWidth="1"/>
    <col min="11" max="11" width="16.5703125" customWidth="1"/>
    <col min="12" max="12" width="14" customWidth="1"/>
  </cols>
  <sheetData>
    <row r="2" spans="1:12">
      <c r="A2" t="s">
        <v>61</v>
      </c>
      <c r="B2" t="s">
        <v>63</v>
      </c>
    </row>
    <row r="3" spans="1:12">
      <c r="A3" t="s">
        <v>61</v>
      </c>
      <c r="B3" s="5" t="s">
        <v>64</v>
      </c>
      <c r="C3" t="s">
        <v>65</v>
      </c>
    </row>
    <row r="5" spans="1:12" s="2" customFormat="1" ht="15.75" customHeight="1">
      <c r="B5" s="3" t="s">
        <v>0</v>
      </c>
      <c r="C5" s="3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</row>
    <row r="6" spans="1:12" s="1" customFormat="1" ht="15.75" customHeight="1"/>
    <row r="7" spans="1:12" s="1" customFormat="1" ht="15.75" customHeight="1">
      <c r="A7" s="1" t="str">
        <f t="shared" ref="A7:A22" si="0">IF($C$3="ON","","COMMENT")</f>
        <v/>
      </c>
      <c r="B7" s="1" t="s">
        <v>11</v>
      </c>
      <c r="C7" s="1" t="s">
        <v>66</v>
      </c>
    </row>
    <row r="8" spans="1:12" s="1" customFormat="1" ht="15.75" customHeight="1">
      <c r="A8" s="1" t="str">
        <f t="shared" si="0"/>
        <v/>
      </c>
      <c r="B8" s="1" t="s">
        <v>11</v>
      </c>
      <c r="C8" s="1" t="s">
        <v>67</v>
      </c>
    </row>
    <row r="9" spans="1:12" s="1" customFormat="1" ht="15.75" customHeight="1">
      <c r="A9" s="1" t="str">
        <f t="shared" si="0"/>
        <v/>
      </c>
    </row>
    <row r="10" spans="1:12" s="1" customFormat="1" ht="15.75" customHeight="1">
      <c r="A10" s="1" t="str">
        <f t="shared" si="0"/>
        <v/>
      </c>
      <c r="B10" s="1" t="s">
        <v>11</v>
      </c>
      <c r="C10" s="1" t="s">
        <v>68</v>
      </c>
    </row>
    <row r="11" spans="1:12" s="1" customFormat="1" ht="15.75" customHeight="1">
      <c r="A11" s="1" t="str">
        <f t="shared" si="0"/>
        <v/>
      </c>
      <c r="B11" s="1" t="s">
        <v>11</v>
      </c>
      <c r="C11" s="1" t="s">
        <v>69</v>
      </c>
    </row>
    <row r="12" spans="1:12" s="1" customFormat="1" ht="15.75" customHeight="1">
      <c r="A12" s="1" t="str">
        <f t="shared" si="0"/>
        <v/>
      </c>
    </row>
    <row r="13" spans="1:12" s="1" customFormat="1" ht="15.75" customHeight="1">
      <c r="A13" s="1" t="str">
        <f t="shared" si="0"/>
        <v/>
      </c>
      <c r="B13" s="1" t="s">
        <v>11</v>
      </c>
      <c r="C13" s="1" t="s">
        <v>70</v>
      </c>
      <c r="E13" s="1" t="str">
        <f>'Inputs - Curves'!C8</f>
        <v>Landfilled Wood Decay Curve</v>
      </c>
    </row>
    <row r="14" spans="1:12" s="1" customFormat="1" ht="15.75" customHeight="1">
      <c r="A14" s="1" t="str">
        <f t="shared" si="0"/>
        <v/>
      </c>
      <c r="B14" s="1" t="s">
        <v>11</v>
      </c>
      <c r="C14" s="1" t="s">
        <v>71</v>
      </c>
      <c r="E14" s="1" t="str">
        <f>'Inputs - Curves'!C9</f>
        <v>Landfilled Paper Decay Curve</v>
      </c>
    </row>
    <row r="15" spans="1:12" s="1" customFormat="1" ht="15.75" customHeight="1">
      <c r="A15" s="1" t="str">
        <f t="shared" si="0"/>
        <v/>
      </c>
    </row>
    <row r="16" spans="1:12" s="1" customFormat="1" ht="15.75" customHeight="1">
      <c r="A16" s="1" t="str">
        <f t="shared" si="0"/>
        <v/>
      </c>
      <c r="B16" s="1" t="s">
        <v>11</v>
      </c>
      <c r="C16" s="1" t="s">
        <v>72</v>
      </c>
    </row>
    <row r="17" spans="1:12" s="1" customFormat="1" ht="15.75" customHeight="1">
      <c r="A17" s="1" t="str">
        <f t="shared" si="0"/>
        <v/>
      </c>
    </row>
    <row r="18" spans="1:12" s="1" customFormat="1" ht="15.75" customHeight="1">
      <c r="A18" s="1" t="str">
        <f t="shared" si="0"/>
        <v/>
      </c>
      <c r="B18" s="1" t="s">
        <v>11</v>
      </c>
      <c r="C18" s="1" t="s">
        <v>73</v>
      </c>
    </row>
    <row r="19" spans="1:12" s="1" customFormat="1" ht="15.75" customHeight="1">
      <c r="A19" s="1" t="str">
        <f t="shared" si="0"/>
        <v/>
      </c>
      <c r="B19" s="1" t="s">
        <v>11</v>
      </c>
      <c r="C19" s="1" t="s">
        <v>74</v>
      </c>
    </row>
    <row r="20" spans="1:12" s="1" customFormat="1" ht="15.75" customHeight="1">
      <c r="A20" s="1" t="str">
        <f t="shared" si="0"/>
        <v/>
      </c>
      <c r="B20" s="1" t="s">
        <v>11</v>
      </c>
      <c r="C20" s="1" t="s">
        <v>75</v>
      </c>
    </row>
    <row r="21" spans="1:12" s="1" customFormat="1" ht="15.75" customHeight="1">
      <c r="A21" s="1" t="str">
        <f t="shared" si="0"/>
        <v/>
      </c>
    </row>
    <row r="22" spans="1:12" s="1" customFormat="1" ht="15.75" customHeight="1">
      <c r="A22" s="1" t="str">
        <f t="shared" si="0"/>
        <v/>
      </c>
      <c r="B22" s="1" t="s">
        <v>11</v>
      </c>
      <c r="C22" s="1" t="s">
        <v>76</v>
      </c>
    </row>
    <row r="23" spans="1:12" s="1" customFormat="1" ht="15.75" customHeight="1"/>
    <row r="24" spans="1:12" s="2" customFormat="1" ht="15.75" customHeight="1">
      <c r="B24" s="3" t="s">
        <v>25</v>
      </c>
      <c r="C24" s="3" t="s">
        <v>1</v>
      </c>
      <c r="D24" s="2" t="s">
        <v>26</v>
      </c>
      <c r="E24" s="2" t="s">
        <v>2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32</v>
      </c>
      <c r="L24" s="2" t="s">
        <v>10</v>
      </c>
    </row>
    <row r="25" spans="1:12" s="1" customFormat="1" ht="15.75" customHeight="1"/>
    <row r="26" spans="1:12" s="1" customFormat="1" ht="15.75" customHeight="1">
      <c r="A26" s="1" t="str">
        <f t="shared" ref="A26:A34" si="1">IF($C$3="ON","","COMMENT")</f>
        <v/>
      </c>
      <c r="B26" s="1" t="s">
        <v>33</v>
      </c>
      <c r="C26" s="1" t="s">
        <v>77</v>
      </c>
    </row>
    <row r="27" spans="1:12" s="1" customFormat="1" ht="15.75" customHeight="1">
      <c r="A27" s="1" t="str">
        <f t="shared" si="1"/>
        <v/>
      </c>
      <c r="B27" s="1" t="s">
        <v>33</v>
      </c>
      <c r="C27" s="1" t="s">
        <v>78</v>
      </c>
    </row>
    <row r="28" spans="1:12" s="1" customFormat="1" ht="15.75" customHeight="1">
      <c r="A28" s="1" t="str">
        <f t="shared" si="1"/>
        <v/>
      </c>
      <c r="B28" s="1" t="s">
        <v>33</v>
      </c>
      <c r="C28" s="1" t="s">
        <v>79</v>
      </c>
    </row>
    <row r="29" spans="1:12" s="1" customFormat="1" ht="15.75" customHeight="1">
      <c r="A29" s="1" t="str">
        <f t="shared" si="1"/>
        <v/>
      </c>
      <c r="B29" s="1" t="s">
        <v>33</v>
      </c>
      <c r="C29" s="1" t="s">
        <v>80</v>
      </c>
    </row>
    <row r="30" spans="1:12" s="1" customFormat="1" ht="15.75" customHeight="1">
      <c r="A30" s="1" t="str">
        <f t="shared" si="1"/>
        <v/>
      </c>
      <c r="B30" s="1" t="s">
        <v>33</v>
      </c>
      <c r="C30" s="1" t="s">
        <v>81</v>
      </c>
    </row>
    <row r="31" spans="1:12" s="1" customFormat="1" ht="15.75" customHeight="1">
      <c r="A31" s="1" t="str">
        <f t="shared" si="1"/>
        <v/>
      </c>
      <c r="B31" s="1" t="s">
        <v>33</v>
      </c>
      <c r="C31" s="1" t="s">
        <v>82</v>
      </c>
    </row>
    <row r="32" spans="1:12" s="1" customFormat="1" ht="15.75" customHeight="1">
      <c r="A32" s="1" t="str">
        <f t="shared" si="1"/>
        <v/>
      </c>
      <c r="B32" s="1" t="s">
        <v>33</v>
      </c>
      <c r="C32" s="1" t="s">
        <v>83</v>
      </c>
    </row>
    <row r="33" spans="1:7" s="1" customFormat="1" ht="15.75" customHeight="1">
      <c r="A33" s="1" t="str">
        <f t="shared" si="1"/>
        <v/>
      </c>
      <c r="B33" s="1" t="s">
        <v>33</v>
      </c>
      <c r="C33" s="1" t="s">
        <v>84</v>
      </c>
    </row>
    <row r="34" spans="1:7" s="1" customFormat="1" ht="15.75" customHeight="1">
      <c r="A34" s="1" t="str">
        <f t="shared" si="1"/>
        <v/>
      </c>
      <c r="B34" s="1" t="s">
        <v>33</v>
      </c>
      <c r="C34" s="1" t="s">
        <v>85</v>
      </c>
    </row>
    <row r="35" spans="1:7" s="1" customFormat="1" ht="15.75" customHeight="1"/>
    <row r="36" spans="1:7" s="2" customFormat="1" ht="15.75" customHeight="1">
      <c r="B36" s="3" t="s">
        <v>40</v>
      </c>
      <c r="C36" s="3" t="s">
        <v>41</v>
      </c>
    </row>
    <row r="37" spans="1:7" s="1" customFormat="1" ht="15.75" customHeight="1"/>
    <row r="38" spans="1:7" s="2" customFormat="1" ht="15.75" customHeight="1">
      <c r="B38" s="3" t="s">
        <v>42</v>
      </c>
      <c r="C38" s="3" t="s">
        <v>43</v>
      </c>
      <c r="D38" s="3" t="s">
        <v>44</v>
      </c>
      <c r="E38" s="3" t="s">
        <v>45</v>
      </c>
      <c r="F38" s="3" t="s">
        <v>46</v>
      </c>
      <c r="G38" s="2" t="s">
        <v>47</v>
      </c>
    </row>
    <row r="39" spans="1:7" s="1" customFormat="1" ht="15.75" customHeight="1"/>
    <row r="40" spans="1:7" s="1" customFormat="1" ht="15.75" customHeight="1">
      <c r="A40" s="1" t="str">
        <f t="shared" ref="A40:A75" si="2">IF($C$3="ON","","COMMENT")</f>
        <v/>
      </c>
      <c r="B40" s="1" t="s">
        <v>48</v>
      </c>
      <c r="C40" s="1" t="str">
        <f>$C$26</f>
        <v>MCF Factoring</v>
      </c>
      <c r="D40" s="1" t="str">
        <f>'Inputs - Flow Network'!C14</f>
        <v>Solid Waste Disposal Site</v>
      </c>
      <c r="E40" s="1" t="b">
        <f>TRUE()</f>
        <v>1</v>
      </c>
      <c r="F40" s="1">
        <v>1</v>
      </c>
    </row>
    <row r="41" spans="1:7" s="1" customFormat="1" ht="15.75" customHeight="1">
      <c r="A41" s="1" t="str">
        <f t="shared" si="2"/>
        <v/>
      </c>
      <c r="B41" s="1" t="s">
        <v>48</v>
      </c>
      <c r="C41" s="1" t="str">
        <f>$C$26</f>
        <v>MCF Factoring</v>
      </c>
      <c r="D41" s="1" t="str">
        <f>C7</f>
        <v>Aerobic conditions</v>
      </c>
      <c r="E41" s="1" t="b">
        <f>FALSE()</f>
        <v>0</v>
      </c>
      <c r="F41" s="1">
        <v>1</v>
      </c>
    </row>
    <row r="42" spans="1:7" s="1" customFormat="1" ht="15.75" customHeight="1">
      <c r="A42" s="1" t="str">
        <f t="shared" si="2"/>
        <v/>
      </c>
      <c r="B42" s="1" t="s">
        <v>48</v>
      </c>
      <c r="C42" s="1" t="str">
        <f>$C$26</f>
        <v>MCF Factoring</v>
      </c>
      <c r="D42" s="1" t="str">
        <f>C8</f>
        <v>Anaerobic conditions</v>
      </c>
      <c r="E42" s="1" t="b">
        <f>FALSE()</f>
        <v>0</v>
      </c>
      <c r="F42" s="1">
        <v>2</v>
      </c>
    </row>
    <row r="43" spans="1:7" s="1" customFormat="1" ht="15.75" customHeight="1">
      <c r="A43" s="1" t="str">
        <f t="shared" si="2"/>
        <v/>
      </c>
    </row>
    <row r="44" spans="1:7" s="1" customFormat="1" ht="15.75" customHeight="1">
      <c r="A44" s="1" t="str">
        <f t="shared" si="2"/>
        <v/>
      </c>
      <c r="B44" s="1" t="s">
        <v>48</v>
      </c>
      <c r="C44" s="1" t="str">
        <f>$C$27</f>
        <v>DOCf Factoring</v>
      </c>
      <c r="D44" s="1" t="str">
        <f>C8</f>
        <v>Anaerobic conditions</v>
      </c>
      <c r="E44" s="1" t="b">
        <f>TRUE()</f>
        <v>1</v>
      </c>
      <c r="F44" s="1">
        <v>1</v>
      </c>
    </row>
    <row r="45" spans="1:7" s="1" customFormat="1" ht="15.75" customHeight="1">
      <c r="A45" s="1" t="str">
        <f t="shared" si="2"/>
        <v/>
      </c>
      <c r="B45" s="1" t="s">
        <v>48</v>
      </c>
      <c r="C45" s="1" t="str">
        <f>$C$27</f>
        <v>DOCf Factoring</v>
      </c>
      <c r="D45" s="1" t="str">
        <f>C10</f>
        <v>Decomposable</v>
      </c>
      <c r="E45" s="1" t="b">
        <f>FALSE()</f>
        <v>0</v>
      </c>
      <c r="F45" s="1">
        <v>1</v>
      </c>
    </row>
    <row r="46" spans="1:7" s="1" customFormat="1" ht="15.75" customHeight="1">
      <c r="A46" s="1" t="str">
        <f t="shared" si="2"/>
        <v/>
      </c>
      <c r="B46" s="1" t="s">
        <v>48</v>
      </c>
      <c r="C46" s="1" t="str">
        <f>$C$27</f>
        <v>DOCf Factoring</v>
      </c>
      <c r="D46" s="1" t="str">
        <f>C11</f>
        <v>Non-decomposable</v>
      </c>
      <c r="E46" s="1" t="b">
        <f>FALSE()</f>
        <v>0</v>
      </c>
      <c r="F46" s="1">
        <v>2</v>
      </c>
    </row>
    <row r="47" spans="1:7" s="1" customFormat="1" ht="15.75" customHeight="1">
      <c r="A47" s="1" t="str">
        <f t="shared" si="2"/>
        <v/>
      </c>
    </row>
    <row r="48" spans="1:7" s="1" customFormat="1" ht="15.75" customHeight="1">
      <c r="A48" s="1" t="str">
        <f t="shared" si="2"/>
        <v/>
      </c>
      <c r="B48" s="1" t="s">
        <v>48</v>
      </c>
      <c r="C48" s="1" t="str">
        <f>$C$28</f>
        <v>Climate Zoning</v>
      </c>
      <c r="D48" s="1" t="str">
        <f>C10</f>
        <v>Decomposable</v>
      </c>
      <c r="E48" s="1" t="b">
        <f>TRUE()</f>
        <v>1</v>
      </c>
      <c r="F48" s="1">
        <v>1</v>
      </c>
    </row>
    <row r="49" spans="1:6" s="1" customFormat="1" ht="15.75" customHeight="1">
      <c r="A49" s="1" t="str">
        <f t="shared" si="2"/>
        <v/>
      </c>
      <c r="B49" s="1" t="s">
        <v>48</v>
      </c>
      <c r="C49" s="1" t="str">
        <f>$C$28</f>
        <v>Climate Zoning</v>
      </c>
      <c r="D49" s="1" t="str">
        <f>C13</f>
        <v>Landfilled Wood, Boreal Wet</v>
      </c>
      <c r="E49" s="1" t="b">
        <f>FALSE()</f>
        <v>0</v>
      </c>
      <c r="F49" s="1">
        <v>1</v>
      </c>
    </row>
    <row r="50" spans="1:6" s="1" customFormat="1" ht="15.75" customHeight="1">
      <c r="A50" s="1" t="str">
        <f t="shared" si="2"/>
        <v/>
      </c>
      <c r="B50" s="1" t="s">
        <v>48</v>
      </c>
      <c r="C50" s="1" t="str">
        <f>$C$28</f>
        <v>Climate Zoning</v>
      </c>
      <c r="D50" s="1" t="str">
        <f>C14</f>
        <v>Landfilled Paper, Boreal Wet</v>
      </c>
      <c r="E50" s="1" t="b">
        <f>FALSE()</f>
        <v>0</v>
      </c>
      <c r="F50" s="1">
        <v>2</v>
      </c>
    </row>
    <row r="51" spans="1:6" s="1" customFormat="1" ht="15.75" customHeight="1">
      <c r="A51" s="1" t="str">
        <f t="shared" si="2"/>
        <v/>
      </c>
    </row>
    <row r="52" spans="1:6" s="1" customFormat="1" ht="15.75" customHeight="1">
      <c r="A52" s="1" t="str">
        <f t="shared" si="2"/>
        <v/>
      </c>
      <c r="B52" s="1" t="s">
        <v>48</v>
      </c>
      <c r="C52" s="1" t="str">
        <f>$C$29</f>
        <v>F Factoring</v>
      </c>
      <c r="D52" s="1" t="str">
        <f>C13</f>
        <v>Landfilled Wood, Boreal Wet</v>
      </c>
      <c r="E52" s="1" t="b">
        <f>TRUE()</f>
        <v>1</v>
      </c>
      <c r="F52" s="1">
        <v>1</v>
      </c>
    </row>
    <row r="53" spans="1:6" s="1" customFormat="1" ht="15.75" customHeight="1">
      <c r="A53" s="1" t="str">
        <f t="shared" si="2"/>
        <v/>
      </c>
      <c r="B53" s="1" t="s">
        <v>48</v>
      </c>
      <c r="C53" s="1" t="str">
        <f>$C$29</f>
        <v>F Factoring</v>
      </c>
      <c r="D53" s="1" t="str">
        <f>C14</f>
        <v>Landfilled Paper, Boreal Wet</v>
      </c>
      <c r="E53" s="1" t="b">
        <f>TRUE()</f>
        <v>1</v>
      </c>
      <c r="F53" s="1">
        <v>2</v>
      </c>
    </row>
    <row r="54" spans="1:6" s="1" customFormat="1" ht="15.75" customHeight="1">
      <c r="A54" s="1" t="str">
        <f t="shared" si="2"/>
        <v/>
      </c>
      <c r="B54" s="1" t="s">
        <v>48</v>
      </c>
      <c r="C54" s="1" t="str">
        <f>$C$29</f>
        <v>F Factoring</v>
      </c>
      <c r="D54" s="1" t="str">
        <f>C16</f>
        <v>CH4 Generated</v>
      </c>
      <c r="E54" s="1" t="b">
        <f>FALSE()</f>
        <v>0</v>
      </c>
      <c r="F54" s="1">
        <v>1</v>
      </c>
    </row>
    <row r="55" spans="1:6" s="1" customFormat="1" ht="15.75" customHeight="1">
      <c r="A55" s="1" t="str">
        <f t="shared" si="2"/>
        <v/>
      </c>
      <c r="B55" s="1" t="s">
        <v>48</v>
      </c>
      <c r="C55" s="1" t="str">
        <f>$C$29</f>
        <v>F Factoring</v>
      </c>
      <c r="D55" s="1" t="str">
        <f>'Inputs - Flow Network'!$C$16</f>
        <v>CO2 Emissions</v>
      </c>
      <c r="E55" s="1" t="b">
        <f>FALSE()</f>
        <v>0</v>
      </c>
      <c r="F55" s="1">
        <v>2</v>
      </c>
    </row>
    <row r="56" spans="1:6" s="1" customFormat="1" ht="15.75" customHeight="1">
      <c r="A56" s="1" t="str">
        <f t="shared" si="2"/>
        <v/>
      </c>
    </row>
    <row r="57" spans="1:6" s="1" customFormat="1" ht="15.75" customHeight="1">
      <c r="A57" s="1" t="str">
        <f t="shared" si="2"/>
        <v/>
      </c>
      <c r="B57" s="1" t="s">
        <v>48</v>
      </c>
      <c r="C57" s="1" t="str">
        <f>$C$30</f>
        <v>R Factoring</v>
      </c>
      <c r="D57" s="1" t="str">
        <f>C16</f>
        <v>CH4 Generated</v>
      </c>
      <c r="E57" s="1" t="b">
        <f>TRUE()</f>
        <v>1</v>
      </c>
      <c r="F57" s="1">
        <v>1</v>
      </c>
    </row>
    <row r="58" spans="1:6" s="1" customFormat="1" ht="15.75" customHeight="1">
      <c r="A58" s="1" t="str">
        <f t="shared" si="2"/>
        <v/>
      </c>
      <c r="B58" s="1" t="s">
        <v>48</v>
      </c>
      <c r="C58" s="1" t="str">
        <f>$C$30</f>
        <v>R Factoring</v>
      </c>
      <c r="D58" s="1" t="str">
        <f>C18</f>
        <v>Flared CH4</v>
      </c>
      <c r="E58" s="1" t="b">
        <f>FALSE()</f>
        <v>0</v>
      </c>
      <c r="F58" s="1">
        <v>1</v>
      </c>
    </row>
    <row r="59" spans="1:6" s="1" customFormat="1" ht="15.75" customHeight="1">
      <c r="A59" s="1" t="str">
        <f t="shared" si="2"/>
        <v/>
      </c>
      <c r="B59" s="1" t="s">
        <v>48</v>
      </c>
      <c r="C59" s="1" t="str">
        <f>$C$30</f>
        <v>R Factoring</v>
      </c>
      <c r="D59" s="1" t="str">
        <f>C19</f>
        <v>CH4-to-energy</v>
      </c>
      <c r="E59" s="1" t="b">
        <f>FALSE()</f>
        <v>0</v>
      </c>
      <c r="F59" s="1">
        <v>2</v>
      </c>
    </row>
    <row r="60" spans="1:6">
      <c r="A60" s="1" t="str">
        <f t="shared" si="2"/>
        <v/>
      </c>
      <c r="B60" s="1" t="s">
        <v>48</v>
      </c>
      <c r="C60" s="1" t="str">
        <f>$C$30</f>
        <v>R Factoring</v>
      </c>
      <c r="D60" t="str">
        <f>C20</f>
        <v>Unrecovered CH4</v>
      </c>
      <c r="E60" s="1" t="b">
        <f>FALSE()</f>
        <v>0</v>
      </c>
      <c r="F60" s="1">
        <v>3</v>
      </c>
    </row>
    <row r="61" spans="1:6">
      <c r="A61" s="1" t="str">
        <f t="shared" si="2"/>
        <v/>
      </c>
      <c r="B61" s="1"/>
    </row>
    <row r="62" spans="1:6">
      <c r="A62" s="1" t="str">
        <f t="shared" si="2"/>
        <v/>
      </c>
      <c r="B62" s="1" t="s">
        <v>48</v>
      </c>
      <c r="C62" s="1" t="str">
        <f>$C$31</f>
        <v>Flaring</v>
      </c>
      <c r="D62" t="str">
        <f>C18</f>
        <v>Flared CH4</v>
      </c>
      <c r="E62" s="1" t="b">
        <f>TRUE()</f>
        <v>1</v>
      </c>
      <c r="F62" s="1">
        <v>1</v>
      </c>
    </row>
    <row r="63" spans="1:6">
      <c r="A63" s="1" t="str">
        <f t="shared" si="2"/>
        <v/>
      </c>
      <c r="B63" s="1" t="s">
        <v>48</v>
      </c>
      <c r="C63" s="1" t="str">
        <f>$C$31</f>
        <v>Flaring</v>
      </c>
      <c r="D63" t="str">
        <f>'Inputs - Flow Network'!$C$16</f>
        <v>CO2 Emissions</v>
      </c>
      <c r="E63" s="1" t="b">
        <f>FALSE()</f>
        <v>0</v>
      </c>
      <c r="F63" s="1">
        <v>1</v>
      </c>
    </row>
    <row r="64" spans="1:6">
      <c r="A64" s="1" t="str">
        <f t="shared" si="2"/>
        <v/>
      </c>
      <c r="B64" s="1" t="s">
        <v>48</v>
      </c>
      <c r="C64" s="1" t="str">
        <f>$C$31</f>
        <v>Flaring</v>
      </c>
      <c r="D64" t="str">
        <f>C22</f>
        <v>CH4 Emissions</v>
      </c>
      <c r="E64" s="1" t="b">
        <f>FALSE()</f>
        <v>0</v>
      </c>
      <c r="F64" s="1">
        <v>2</v>
      </c>
    </row>
    <row r="65" spans="1:10">
      <c r="A65" s="1" t="str">
        <f t="shared" si="2"/>
        <v/>
      </c>
    </row>
    <row r="66" spans="1:10">
      <c r="A66" s="1" t="str">
        <f t="shared" si="2"/>
        <v/>
      </c>
      <c r="B66" s="1" t="s">
        <v>48</v>
      </c>
      <c r="C66" s="1" t="str">
        <f>$C$32</f>
        <v>CH4 Combusting</v>
      </c>
      <c r="D66" t="str">
        <f>C19</f>
        <v>CH4-to-energy</v>
      </c>
      <c r="E66" t="b">
        <f>TRUE()</f>
        <v>1</v>
      </c>
      <c r="F66" s="1">
        <v>1</v>
      </c>
    </row>
    <row r="67" spans="1:10">
      <c r="A67" s="1" t="str">
        <f t="shared" si="2"/>
        <v/>
      </c>
      <c r="B67" s="1" t="s">
        <v>48</v>
      </c>
      <c r="C67" s="1" t="str">
        <f>$C$32</f>
        <v>CH4 Combusting</v>
      </c>
      <c r="D67" t="str">
        <f>'Inputs - Flow Network'!$C$16</f>
        <v>CO2 Emissions</v>
      </c>
      <c r="E67" s="1" t="b">
        <f>FALSE()</f>
        <v>0</v>
      </c>
      <c r="F67" s="1">
        <v>1</v>
      </c>
    </row>
    <row r="68" spans="1:10">
      <c r="A68" s="1" t="str">
        <f t="shared" si="2"/>
        <v/>
      </c>
      <c r="B68" s="1" t="s">
        <v>48</v>
      </c>
      <c r="C68" s="1" t="str">
        <f>$C$32</f>
        <v>CH4 Combusting</v>
      </c>
      <c r="D68" t="str">
        <f>C22</f>
        <v>CH4 Emissions</v>
      </c>
      <c r="E68" s="1" t="b">
        <f>FALSE()</f>
        <v>0</v>
      </c>
      <c r="F68" s="1">
        <v>2</v>
      </c>
    </row>
    <row r="69" spans="1:10">
      <c r="A69" s="1" t="str">
        <f t="shared" si="2"/>
        <v/>
      </c>
      <c r="B69" s="1"/>
    </row>
    <row r="70" spans="1:10">
      <c r="A70" s="1" t="str">
        <f t="shared" si="2"/>
        <v/>
      </c>
      <c r="B70" s="1" t="s">
        <v>48</v>
      </c>
      <c r="C70" t="str">
        <f>$C$33</f>
        <v>OX Factoring</v>
      </c>
      <c r="D70" t="str">
        <f>C20</f>
        <v>Unrecovered CH4</v>
      </c>
      <c r="E70" t="b">
        <f>TRUE()</f>
        <v>1</v>
      </c>
      <c r="F70" s="1">
        <v>1</v>
      </c>
    </row>
    <row r="71" spans="1:10">
      <c r="A71" s="1" t="str">
        <f t="shared" si="2"/>
        <v/>
      </c>
      <c r="B71" s="1" t="s">
        <v>48</v>
      </c>
      <c r="C71" t="str">
        <f>$C$33</f>
        <v>OX Factoring</v>
      </c>
      <c r="D71" t="str">
        <f>'Inputs - Flow Network'!$C$16</f>
        <v>CO2 Emissions</v>
      </c>
      <c r="E71" t="b">
        <f>FALSE()</f>
        <v>0</v>
      </c>
      <c r="F71" s="1">
        <v>1</v>
      </c>
    </row>
    <row r="72" spans="1:10">
      <c r="A72" s="1" t="str">
        <f t="shared" si="2"/>
        <v/>
      </c>
      <c r="B72" s="1" t="s">
        <v>48</v>
      </c>
      <c r="C72" t="str">
        <f>$C$33</f>
        <v>OX Factoring</v>
      </c>
      <c r="D72" t="str">
        <f>C22</f>
        <v>CH4 Emissions</v>
      </c>
      <c r="E72" t="b">
        <f>FALSE()</f>
        <v>0</v>
      </c>
      <c r="F72" s="1">
        <v>2</v>
      </c>
    </row>
    <row r="73" spans="1:10">
      <c r="A73" s="1" t="str">
        <f t="shared" si="2"/>
        <v/>
      </c>
      <c r="B73" s="1"/>
    </row>
    <row r="74" spans="1:10">
      <c r="A74" s="1" t="str">
        <f t="shared" si="2"/>
        <v/>
      </c>
      <c r="B74" s="1" t="s">
        <v>48</v>
      </c>
      <c r="C74" t="str">
        <f>$C$34</f>
        <v>Aerobic Oxidizing</v>
      </c>
      <c r="D74" t="str">
        <f>C7</f>
        <v>Aerobic conditions</v>
      </c>
      <c r="E74" t="b">
        <f>TRUE()</f>
        <v>1</v>
      </c>
      <c r="F74" s="1">
        <v>1</v>
      </c>
    </row>
    <row r="75" spans="1:10">
      <c r="A75" s="1" t="str">
        <f t="shared" si="2"/>
        <v/>
      </c>
      <c r="B75" s="1" t="s">
        <v>48</v>
      </c>
      <c r="C75" t="str">
        <f>$C$34</f>
        <v>Aerobic Oxidizing</v>
      </c>
      <c r="D75" t="str">
        <f>'Inputs - Flow Network'!$C$16</f>
        <v>CO2 Emissions</v>
      </c>
      <c r="E75" t="b">
        <f>FALSE()</f>
        <v>0</v>
      </c>
      <c r="F75" s="1">
        <v>1</v>
      </c>
    </row>
    <row r="76" spans="1:10" s="1" customFormat="1" ht="15.75" customHeight="1"/>
    <row r="77" spans="1:10" s="2" customFormat="1" ht="15.75" customHeight="1">
      <c r="B77" s="3" t="s">
        <v>49</v>
      </c>
      <c r="C77" s="3" t="s">
        <v>1</v>
      </c>
      <c r="D77" s="3" t="s">
        <v>50</v>
      </c>
      <c r="E77" s="3" t="s">
        <v>32</v>
      </c>
      <c r="F77" s="2" t="s">
        <v>51</v>
      </c>
      <c r="G77" s="2" t="s">
        <v>52</v>
      </c>
      <c r="H77" s="2" t="s">
        <v>53</v>
      </c>
    </row>
    <row r="78" spans="1:10" s="1" customFormat="1" ht="15.75" customHeight="1"/>
    <row r="79" spans="1:10" s="2" customFormat="1" ht="15.75" customHeight="1">
      <c r="B79" s="3" t="s">
        <v>56</v>
      </c>
      <c r="C79" s="3" t="s">
        <v>57</v>
      </c>
      <c r="D79" s="3" t="s">
        <v>46</v>
      </c>
      <c r="E79" s="3" t="s">
        <v>58</v>
      </c>
      <c r="F79" s="8" t="s">
        <v>139</v>
      </c>
      <c r="G79" s="8" t="s">
        <v>59</v>
      </c>
      <c r="H79" s="8" t="s">
        <v>140</v>
      </c>
      <c r="I79" s="8" t="s">
        <v>141</v>
      </c>
      <c r="J79" s="2" t="s">
        <v>60</v>
      </c>
    </row>
    <row r="80" spans="1:10" s="1" customFormat="1" ht="15.75" customHeight="1"/>
    <row r="81" spans="1:10">
      <c r="A81" s="1" t="str">
        <f t="shared" ref="A81:A112" si="3">IF($C$3="ON","","COMMENT")</f>
        <v/>
      </c>
      <c r="B81" s="1" t="s">
        <v>62</v>
      </c>
      <c r="C81" s="1" t="str">
        <f>C41</f>
        <v>MCF Factoring</v>
      </c>
      <c r="D81">
        <f>F41</f>
        <v>1</v>
      </c>
      <c r="E81">
        <v>0</v>
      </c>
    </row>
    <row r="82" spans="1:10">
      <c r="A82" s="1" t="str">
        <f t="shared" si="3"/>
        <v/>
      </c>
      <c r="B82" s="1" t="s">
        <v>62</v>
      </c>
      <c r="C82" s="1" t="str">
        <f>C42</f>
        <v>MCF Factoring</v>
      </c>
      <c r="D82">
        <f>F42</f>
        <v>2</v>
      </c>
      <c r="E82">
        <v>1</v>
      </c>
    </row>
    <row r="83" spans="1:10">
      <c r="A83" s="1" t="str">
        <f t="shared" si="3"/>
        <v/>
      </c>
      <c r="B83" s="1"/>
    </row>
    <row r="84" spans="1:10">
      <c r="A84" s="1" t="str">
        <f t="shared" si="3"/>
        <v/>
      </c>
      <c r="B84" s="1" t="s">
        <v>62</v>
      </c>
      <c r="C84" t="str">
        <f>C45</f>
        <v>DOCf Factoring</v>
      </c>
      <c r="D84">
        <f>F45</f>
        <v>1</v>
      </c>
      <c r="E84">
        <v>0.1</v>
      </c>
      <c r="H84" t="str">
        <f>'Inputs - Tags'!C11</f>
        <v>Less decomposable wastes</v>
      </c>
    </row>
    <row r="85" spans="1:10">
      <c r="A85" s="1" t="str">
        <f t="shared" si="3"/>
        <v/>
      </c>
      <c r="B85" s="1" t="s">
        <v>62</v>
      </c>
      <c r="C85" t="str">
        <f>C46</f>
        <v>DOCf Factoring</v>
      </c>
      <c r="D85">
        <f>F46</f>
        <v>2</v>
      </c>
      <c r="E85">
        <v>0.9</v>
      </c>
      <c r="H85" t="str">
        <f>'Inputs - Tags'!C11</f>
        <v>Less decomposable wastes</v>
      </c>
    </row>
    <row r="86" spans="1:10">
      <c r="A86" s="1" t="str">
        <f t="shared" si="3"/>
        <v/>
      </c>
      <c r="B86" s="1"/>
    </row>
    <row r="87" spans="1:10">
      <c r="A87" s="1" t="str">
        <f t="shared" si="3"/>
        <v/>
      </c>
      <c r="B87" s="1" t="s">
        <v>62</v>
      </c>
      <c r="C87" t="str">
        <f>C45</f>
        <v>DOCf Factoring</v>
      </c>
      <c r="D87">
        <f>F45</f>
        <v>1</v>
      </c>
      <c r="E87">
        <v>0.5</v>
      </c>
      <c r="J87" t="s">
        <v>86</v>
      </c>
    </row>
    <row r="88" spans="1:10">
      <c r="A88" s="1" t="str">
        <f t="shared" si="3"/>
        <v/>
      </c>
      <c r="B88" s="1" t="s">
        <v>62</v>
      </c>
      <c r="C88" t="str">
        <f>C46</f>
        <v>DOCf Factoring</v>
      </c>
      <c r="D88">
        <f>F46</f>
        <v>2</v>
      </c>
      <c r="E88">
        <v>0.5</v>
      </c>
    </row>
    <row r="89" spans="1:10">
      <c r="A89" s="1" t="str">
        <f t="shared" si="3"/>
        <v/>
      </c>
      <c r="B89" s="1"/>
    </row>
    <row r="90" spans="1:10">
      <c r="A90" s="1" t="str">
        <f t="shared" si="3"/>
        <v/>
      </c>
      <c r="B90" s="1" t="s">
        <v>62</v>
      </c>
      <c r="C90" s="1" t="str">
        <f>C49</f>
        <v>Climate Zoning</v>
      </c>
      <c r="D90">
        <f>F49</f>
        <v>1</v>
      </c>
      <c r="E90">
        <v>1</v>
      </c>
      <c r="H90" t="str">
        <f>'Inputs - Tags'!C11</f>
        <v>Less decomposable wastes</v>
      </c>
    </row>
    <row r="91" spans="1:10">
      <c r="A91" s="1" t="str">
        <f t="shared" si="3"/>
        <v/>
      </c>
      <c r="B91" s="1" t="s">
        <v>62</v>
      </c>
      <c r="C91" s="1" t="str">
        <f>C50</f>
        <v>Climate Zoning</v>
      </c>
      <c r="D91">
        <f>F50</f>
        <v>2</v>
      </c>
      <c r="E91">
        <v>0</v>
      </c>
      <c r="H91" t="str">
        <f>'Inputs - Tags'!C11</f>
        <v>Less decomposable wastes</v>
      </c>
    </row>
    <row r="92" spans="1:10">
      <c r="A92" s="1" t="str">
        <f t="shared" si="3"/>
        <v/>
      </c>
      <c r="B92" s="1"/>
      <c r="C92" s="1"/>
    </row>
    <row r="93" spans="1:10">
      <c r="A93" s="1" t="str">
        <f t="shared" si="3"/>
        <v/>
      </c>
      <c r="B93" s="1" t="s">
        <v>62</v>
      </c>
      <c r="C93" s="1" t="str">
        <f>C49</f>
        <v>Climate Zoning</v>
      </c>
      <c r="D93">
        <f>F49</f>
        <v>1</v>
      </c>
      <c r="E93">
        <v>0</v>
      </c>
    </row>
    <row r="94" spans="1:10">
      <c r="A94" s="1" t="str">
        <f t="shared" si="3"/>
        <v/>
      </c>
      <c r="B94" s="1" t="s">
        <v>62</v>
      </c>
      <c r="C94" s="1" t="str">
        <f>C50</f>
        <v>Climate Zoning</v>
      </c>
      <c r="D94">
        <f>F50</f>
        <v>2</v>
      </c>
      <c r="E94">
        <v>1</v>
      </c>
      <c r="J94" t="s">
        <v>87</v>
      </c>
    </row>
    <row r="95" spans="1:10">
      <c r="A95" s="1" t="str">
        <f t="shared" si="3"/>
        <v/>
      </c>
      <c r="B95" s="1"/>
    </row>
    <row r="96" spans="1:10">
      <c r="A96" s="1" t="str">
        <f t="shared" si="3"/>
        <v/>
      </c>
      <c r="B96" s="1" t="s">
        <v>62</v>
      </c>
      <c r="C96" t="str">
        <f>C54</f>
        <v>F Factoring</v>
      </c>
      <c r="D96">
        <f>F54</f>
        <v>1</v>
      </c>
      <c r="E96">
        <v>0.5</v>
      </c>
    </row>
    <row r="97" spans="1:5">
      <c r="A97" s="1" t="str">
        <f t="shared" si="3"/>
        <v/>
      </c>
      <c r="B97" s="1" t="s">
        <v>62</v>
      </c>
      <c r="C97" t="str">
        <f>C55</f>
        <v>F Factoring</v>
      </c>
      <c r="D97">
        <f>F55</f>
        <v>2</v>
      </c>
      <c r="E97">
        <v>0.5</v>
      </c>
    </row>
    <row r="98" spans="1:5">
      <c r="A98" s="1" t="str">
        <f t="shared" si="3"/>
        <v/>
      </c>
      <c r="B98" s="1"/>
    </row>
    <row r="99" spans="1:5">
      <c r="A99" s="1" t="str">
        <f t="shared" si="3"/>
        <v/>
      </c>
      <c r="B99" s="1" t="s">
        <v>62</v>
      </c>
      <c r="C99" t="str">
        <f>C58</f>
        <v>R Factoring</v>
      </c>
      <c r="D99">
        <f>F58</f>
        <v>1</v>
      </c>
      <c r="E99">
        <v>0</v>
      </c>
    </row>
    <row r="100" spans="1:5">
      <c r="A100" s="1" t="str">
        <f t="shared" si="3"/>
        <v/>
      </c>
      <c r="B100" s="1" t="s">
        <v>62</v>
      </c>
      <c r="C100" t="str">
        <f>C59</f>
        <v>R Factoring</v>
      </c>
      <c r="D100">
        <f>F59</f>
        <v>2</v>
      </c>
      <c r="E100">
        <v>0</v>
      </c>
    </row>
    <row r="101" spans="1:5">
      <c r="A101" s="1" t="str">
        <f t="shared" si="3"/>
        <v/>
      </c>
      <c r="B101" s="1" t="s">
        <v>62</v>
      </c>
      <c r="C101" t="str">
        <f>C60</f>
        <v>R Factoring</v>
      </c>
      <c r="D101">
        <f>F60</f>
        <v>3</v>
      </c>
      <c r="E101">
        <v>1</v>
      </c>
    </row>
    <row r="102" spans="1:5">
      <c r="A102" s="1" t="str">
        <f t="shared" si="3"/>
        <v/>
      </c>
      <c r="B102" s="1"/>
    </row>
    <row r="103" spans="1:5">
      <c r="A103" s="1" t="str">
        <f t="shared" si="3"/>
        <v/>
      </c>
      <c r="B103" s="1" t="s">
        <v>62</v>
      </c>
      <c r="C103" t="str">
        <f>C63</f>
        <v>Flaring</v>
      </c>
      <c r="D103">
        <f>F63</f>
        <v>1</v>
      </c>
      <c r="E103">
        <v>1</v>
      </c>
    </row>
    <row r="104" spans="1:5">
      <c r="A104" s="1" t="str">
        <f t="shared" si="3"/>
        <v/>
      </c>
      <c r="B104" s="1" t="s">
        <v>62</v>
      </c>
      <c r="C104" t="str">
        <f>C64</f>
        <v>Flaring</v>
      </c>
      <c r="D104">
        <f>F64</f>
        <v>2</v>
      </c>
      <c r="E104">
        <v>0</v>
      </c>
    </row>
    <row r="105" spans="1:5">
      <c r="A105" s="1" t="str">
        <f t="shared" si="3"/>
        <v/>
      </c>
    </row>
    <row r="106" spans="1:5">
      <c r="A106" s="1" t="str">
        <f t="shared" si="3"/>
        <v/>
      </c>
      <c r="B106" s="1" t="s">
        <v>62</v>
      </c>
      <c r="C106" t="str">
        <f>C67</f>
        <v>CH4 Combusting</v>
      </c>
      <c r="D106">
        <f>F67</f>
        <v>1</v>
      </c>
      <c r="E106">
        <v>1</v>
      </c>
    </row>
    <row r="107" spans="1:5">
      <c r="A107" s="1" t="str">
        <f t="shared" si="3"/>
        <v/>
      </c>
      <c r="B107" s="1" t="s">
        <v>62</v>
      </c>
      <c r="C107" t="str">
        <f>C68</f>
        <v>CH4 Combusting</v>
      </c>
      <c r="D107">
        <f>F68</f>
        <v>2</v>
      </c>
      <c r="E107">
        <v>0</v>
      </c>
    </row>
    <row r="108" spans="1:5">
      <c r="A108" s="1" t="str">
        <f t="shared" si="3"/>
        <v/>
      </c>
    </row>
    <row r="109" spans="1:5">
      <c r="A109" s="1" t="str">
        <f t="shared" si="3"/>
        <v/>
      </c>
      <c r="B109" s="1" t="s">
        <v>62</v>
      </c>
      <c r="C109" t="str">
        <f>C71</f>
        <v>OX Factoring</v>
      </c>
      <c r="D109">
        <f>F71</f>
        <v>1</v>
      </c>
      <c r="E109">
        <v>0</v>
      </c>
    </row>
    <row r="110" spans="1:5">
      <c r="A110" s="1" t="str">
        <f t="shared" si="3"/>
        <v/>
      </c>
      <c r="B110" s="1" t="s">
        <v>62</v>
      </c>
      <c r="C110" t="str">
        <f>C72</f>
        <v>OX Factoring</v>
      </c>
      <c r="D110">
        <f>F72</f>
        <v>2</v>
      </c>
      <c r="E110">
        <v>1</v>
      </c>
    </row>
    <row r="111" spans="1:5">
      <c r="A111" s="1" t="str">
        <f t="shared" si="3"/>
        <v/>
      </c>
    </row>
    <row r="112" spans="1:5">
      <c r="A112" s="1" t="str">
        <f t="shared" si="3"/>
        <v/>
      </c>
      <c r="B112" s="1" t="s">
        <v>62</v>
      </c>
      <c r="C112" t="str">
        <f>C75</f>
        <v>Aerobic Oxidizing</v>
      </c>
      <c r="D112">
        <f>F75</f>
        <v>1</v>
      </c>
      <c r="E112">
        <v>1</v>
      </c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</sheetData>
  <dataValidations count="1">
    <dataValidation type="list" allowBlank="1" showInputMessage="1" showErrorMessage="1" sqref="C3" xr:uid="{00000000-0002-0000-0100-000000000000}">
      <formula1>"ON,OFF"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7"/>
  <sheetViews>
    <sheetView tabSelected="1" zoomScale="60" zoomScaleNormal="60" workbookViewId="0">
      <selection activeCell="C48" sqref="C48"/>
    </sheetView>
  </sheetViews>
  <sheetFormatPr baseColWidth="10" defaultColWidth="9.5703125" defaultRowHeight="16"/>
  <cols>
    <col min="1" max="1" width="19.5703125" customWidth="1"/>
    <col min="2" max="2" width="22.28515625" customWidth="1"/>
    <col min="3" max="3" width="21.7109375" customWidth="1"/>
    <col min="4" max="4" width="14.42578125" customWidth="1"/>
    <col min="5" max="5" width="19.28515625" customWidth="1"/>
    <col min="6" max="6" width="25.28515625" customWidth="1"/>
    <col min="7" max="7" width="23.140625" customWidth="1"/>
    <col min="8" max="8" width="9" customWidth="1"/>
    <col min="9" max="11" width="10.7109375" customWidth="1"/>
  </cols>
  <sheetData>
    <row r="1" spans="2:11" s="6" customFormat="1">
      <c r="B1" s="7" t="s">
        <v>88</v>
      </c>
      <c r="C1" s="7" t="s">
        <v>89</v>
      </c>
      <c r="D1" s="6" t="s">
        <v>90</v>
      </c>
      <c r="E1" s="6" t="s">
        <v>91</v>
      </c>
      <c r="F1" s="7" t="s">
        <v>92</v>
      </c>
      <c r="G1" s="7" t="s">
        <v>93</v>
      </c>
      <c r="H1" s="6" t="s">
        <v>94</v>
      </c>
      <c r="I1" s="6" t="s">
        <v>95</v>
      </c>
      <c r="J1" s="6" t="s">
        <v>96</v>
      </c>
      <c r="K1" s="6" t="s">
        <v>53</v>
      </c>
    </row>
    <row r="3" spans="2:11">
      <c r="B3" t="s">
        <v>97</v>
      </c>
      <c r="C3" t="str">
        <f>'Inputs - Flow Network'!$C$3</f>
        <v>Roundwood</v>
      </c>
      <c r="F3">
        <f>[1]Sheet1!H2</f>
        <v>37127083</v>
      </c>
      <c r="G3">
        <v>1990</v>
      </c>
    </row>
    <row r="4" spans="2:11">
      <c r="B4" t="s">
        <v>97</v>
      </c>
      <c r="C4" t="str">
        <f>'Inputs - Flow Network'!$C$3</f>
        <v>Roundwood</v>
      </c>
      <c r="F4">
        <f>[1]Sheet1!H3</f>
        <v>36678472</v>
      </c>
      <c r="G4">
        <v>1991</v>
      </c>
    </row>
    <row r="5" spans="2:11">
      <c r="B5" t="s">
        <v>97</v>
      </c>
      <c r="C5" t="str">
        <f>'Inputs - Flow Network'!$C$3</f>
        <v>Roundwood</v>
      </c>
      <c r="F5">
        <f>[1]Sheet1!H4</f>
        <v>38905955</v>
      </c>
      <c r="G5">
        <v>1992</v>
      </c>
    </row>
    <row r="6" spans="2:11">
      <c r="B6" t="s">
        <v>97</v>
      </c>
      <c r="C6" t="str">
        <f>'Inputs - Flow Network'!$C$3</f>
        <v>Roundwood</v>
      </c>
      <c r="F6">
        <f>[1]Sheet1!H5</f>
        <v>40348197</v>
      </c>
      <c r="G6">
        <v>1993</v>
      </c>
    </row>
    <row r="7" spans="2:11">
      <c r="B7" t="s">
        <v>97</v>
      </c>
      <c r="C7" t="str">
        <f>'Inputs - Flow Network'!$C$3</f>
        <v>Roundwood</v>
      </c>
      <c r="F7">
        <f>[1]Sheet1!H6</f>
        <v>41958296</v>
      </c>
      <c r="G7">
        <v>1994</v>
      </c>
    </row>
    <row r="8" spans="2:11">
      <c r="B8" t="s">
        <v>97</v>
      </c>
      <c r="C8" t="str">
        <f>'Inputs - Flow Network'!$C$3</f>
        <v>Roundwood</v>
      </c>
      <c r="F8">
        <f>[1]Sheet1!H7</f>
        <v>43150928</v>
      </c>
      <c r="G8">
        <v>1995</v>
      </c>
    </row>
    <row r="9" spans="2:11">
      <c r="B9" t="s">
        <v>97</v>
      </c>
      <c r="C9" t="str">
        <f>'Inputs - Flow Network'!$C$3</f>
        <v>Roundwood</v>
      </c>
      <c r="F9">
        <f>[1]Sheet1!H8</f>
        <v>43483436</v>
      </c>
      <c r="G9">
        <v>1996</v>
      </c>
    </row>
    <row r="10" spans="2:11">
      <c r="B10" t="s">
        <v>97</v>
      </c>
      <c r="C10" t="str">
        <f>'Inputs - Flow Network'!$C$3</f>
        <v>Roundwood</v>
      </c>
      <c r="F10">
        <f>[1]Sheet1!H9</f>
        <v>43752282</v>
      </c>
      <c r="G10">
        <v>1997</v>
      </c>
    </row>
    <row r="11" spans="2:11">
      <c r="B11" t="s">
        <v>97</v>
      </c>
      <c r="C11" t="str">
        <f>'Inputs - Flow Network'!$C$3</f>
        <v>Roundwood</v>
      </c>
      <c r="F11">
        <f>[1]Sheet1!H10</f>
        <v>40519718</v>
      </c>
      <c r="G11">
        <v>1998</v>
      </c>
    </row>
    <row r="12" spans="2:11">
      <c r="B12" t="s">
        <v>97</v>
      </c>
      <c r="C12" t="str">
        <f>'Inputs - Flow Network'!$C$3</f>
        <v>Roundwood</v>
      </c>
      <c r="F12">
        <f>[1]Sheet1!H11</f>
        <v>44400810</v>
      </c>
      <c r="G12">
        <v>1999</v>
      </c>
    </row>
    <row r="13" spans="2:11">
      <c r="B13" t="s">
        <v>97</v>
      </c>
      <c r="C13" t="str">
        <f>'Inputs - Flow Network'!$C$3</f>
        <v>Roundwood</v>
      </c>
      <c r="F13">
        <f>[1]Sheet1!H12</f>
        <v>46222505</v>
      </c>
      <c r="G13">
        <v>2000</v>
      </c>
    </row>
    <row r="14" spans="2:11">
      <c r="B14" t="s">
        <v>97</v>
      </c>
      <c r="C14" t="str">
        <f>'Inputs - Flow Network'!$C$3</f>
        <v>Roundwood</v>
      </c>
      <c r="F14">
        <f>[1]Sheet1!H13</f>
        <v>42560337</v>
      </c>
      <c r="G14">
        <v>2001</v>
      </c>
    </row>
    <row r="15" spans="2:11">
      <c r="B15" t="s">
        <v>97</v>
      </c>
      <c r="C15" t="str">
        <f>'Inputs - Flow Network'!$C$3</f>
        <v>Roundwood</v>
      </c>
      <c r="F15">
        <f>[1]Sheet1!H14</f>
        <v>45359633</v>
      </c>
      <c r="G15">
        <v>2002</v>
      </c>
    </row>
    <row r="16" spans="2:11">
      <c r="B16" t="s">
        <v>97</v>
      </c>
      <c r="C16" t="str">
        <f>'Inputs - Flow Network'!$C$3</f>
        <v>Roundwood</v>
      </c>
      <c r="F16">
        <f>[1]Sheet1!H15</f>
        <v>41138018</v>
      </c>
      <c r="G16">
        <v>2003</v>
      </c>
    </row>
    <row r="17" spans="2:7">
      <c r="B17" t="s">
        <v>97</v>
      </c>
      <c r="C17" t="str">
        <f>'Inputs - Flow Network'!$C$3</f>
        <v>Roundwood</v>
      </c>
      <c r="F17">
        <f>[1]Sheet1!H16</f>
        <v>47648717</v>
      </c>
      <c r="G17">
        <v>2004</v>
      </c>
    </row>
    <row r="18" spans="2:7">
      <c r="B18" t="s">
        <v>97</v>
      </c>
      <c r="C18" t="str">
        <f>'Inputs - Flow Network'!$C$3</f>
        <v>Roundwood</v>
      </c>
      <c r="F18">
        <f>[1]Sheet1!H17</f>
        <v>46514709</v>
      </c>
      <c r="G18">
        <v>2005</v>
      </c>
    </row>
    <row r="19" spans="2:7">
      <c r="B19" t="s">
        <v>97</v>
      </c>
      <c r="C19" t="str">
        <f>'Inputs - Flow Network'!$C$3</f>
        <v>Roundwood</v>
      </c>
      <c r="F19">
        <f>[1]Sheet1!H18</f>
        <v>42120199</v>
      </c>
      <c r="G19">
        <v>2006</v>
      </c>
    </row>
    <row r="20" spans="2:7">
      <c r="B20" t="s">
        <v>97</v>
      </c>
      <c r="C20" t="str">
        <f>'Inputs - Flow Network'!$C$3</f>
        <v>Roundwood</v>
      </c>
      <c r="F20">
        <f>[1]Sheet1!H19</f>
        <v>37693171</v>
      </c>
      <c r="G20">
        <v>2007</v>
      </c>
    </row>
    <row r="21" spans="2:7">
      <c r="B21" t="s">
        <v>97</v>
      </c>
      <c r="C21" t="str">
        <f>'Inputs - Flow Network'!$C$3</f>
        <v>Roundwood</v>
      </c>
      <c r="F21">
        <f>[1]Sheet1!H20</f>
        <v>31885044</v>
      </c>
      <c r="G21">
        <v>2008</v>
      </c>
    </row>
    <row r="22" spans="2:7">
      <c r="B22" t="s">
        <v>97</v>
      </c>
      <c r="C22" t="str">
        <f>'Inputs - Flow Network'!$C$3</f>
        <v>Roundwood</v>
      </c>
      <c r="F22">
        <f>[1]Sheet1!H21</f>
        <v>26634074</v>
      </c>
      <c r="G22">
        <v>2009</v>
      </c>
    </row>
    <row r="23" spans="2:7">
      <c r="B23" t="s">
        <v>97</v>
      </c>
      <c r="C23" t="str">
        <f>'Inputs - Flow Network'!$C$3</f>
        <v>Roundwood</v>
      </c>
      <c r="F23">
        <f>[1]Sheet1!H22</f>
        <v>32520977</v>
      </c>
      <c r="G23">
        <v>2010</v>
      </c>
    </row>
    <row r="24" spans="2:7">
      <c r="B24" t="s">
        <v>97</v>
      </c>
      <c r="C24" t="str">
        <f>'Inputs - Flow Network'!$C$3</f>
        <v>Roundwood</v>
      </c>
      <c r="F24">
        <f>[1]Sheet1!H23</f>
        <v>33932796.350000001</v>
      </c>
      <c r="G24">
        <v>2011</v>
      </c>
    </row>
    <row r="25" spans="2:7">
      <c r="B25" t="s">
        <v>97</v>
      </c>
      <c r="C25" t="str">
        <f>'Inputs - Flow Network'!$C$3</f>
        <v>Roundwood</v>
      </c>
      <c r="F25">
        <f>[1]Sheet1!H24</f>
        <v>33933907</v>
      </c>
      <c r="G25">
        <v>2012</v>
      </c>
    </row>
    <row r="26" spans="2:7">
      <c r="B26" t="s">
        <v>97</v>
      </c>
      <c r="C26" t="str">
        <f>'Inputs - Flow Network'!$C$3</f>
        <v>Roundwood</v>
      </c>
      <c r="F26">
        <f>[1]Sheet1!H25</f>
        <v>34825414.534000002</v>
      </c>
      <c r="G26">
        <v>2013</v>
      </c>
    </row>
    <row r="27" spans="2:7">
      <c r="B27" t="s">
        <v>97</v>
      </c>
      <c r="C27" t="str">
        <f>'Inputs - Flow Network'!$C$3</f>
        <v>Roundwood</v>
      </c>
      <c r="F27">
        <f>[1]Sheet1!H26</f>
        <v>35143340.958999999</v>
      </c>
      <c r="G27">
        <v>2014</v>
      </c>
    </row>
    <row r="28" spans="2:7">
      <c r="B28" t="s">
        <v>97</v>
      </c>
      <c r="C28" t="str">
        <f>'Inputs - Flow Network'!$C$3</f>
        <v>Roundwood</v>
      </c>
      <c r="F28">
        <f>[1]Sheet1!H27</f>
        <v>35723207.659999996</v>
      </c>
      <c r="G28">
        <v>2015</v>
      </c>
    </row>
    <row r="29" spans="2:7">
      <c r="B29" t="s">
        <v>97</v>
      </c>
      <c r="C29" t="str">
        <f>'Inputs - Flow Network'!$C$3</f>
        <v>Roundwood</v>
      </c>
      <c r="F29">
        <f>[1]Sheet1!H28</f>
        <v>35894376</v>
      </c>
      <c r="G29">
        <v>2016</v>
      </c>
    </row>
    <row r="30" spans="2:7">
      <c r="B30" t="s">
        <v>97</v>
      </c>
      <c r="C30" t="str">
        <f>'Inputs - Flow Network'!$C$3</f>
        <v>Roundwood</v>
      </c>
      <c r="F30">
        <f>[1]Sheet1!H29</f>
        <v>35888193</v>
      </c>
      <c r="G30">
        <v>2017</v>
      </c>
    </row>
    <row r="31" spans="2:7">
      <c r="B31" t="s">
        <v>97</v>
      </c>
      <c r="C31" t="str">
        <f>'Inputs - Flow Network'!$C$3</f>
        <v>Roundwood</v>
      </c>
      <c r="F31">
        <f>[1]Sheet1!H30</f>
        <v>35907843.947999999</v>
      </c>
      <c r="G31">
        <v>2018</v>
      </c>
    </row>
    <row r="32" spans="2:7">
      <c r="B32" t="s">
        <v>97</v>
      </c>
      <c r="C32" t="str">
        <f>'Inputs - Flow Network'!$C$3</f>
        <v>Roundwood</v>
      </c>
      <c r="F32">
        <f>[1]Sheet1!H31</f>
        <v>32447111.447000001</v>
      </c>
      <c r="G32">
        <v>2019</v>
      </c>
    </row>
    <row r="33" spans="2:7">
      <c r="B33" t="s">
        <v>97</v>
      </c>
      <c r="C33" t="str">
        <f>'Inputs - Flow Network'!$C$3</f>
        <v>Roundwood</v>
      </c>
      <c r="F33">
        <f>[1]Sheet1!H32</f>
        <v>32663199.739999998</v>
      </c>
      <c r="G33">
        <v>2020</v>
      </c>
    </row>
    <row r="34" spans="2:7">
      <c r="B34" t="s">
        <v>97</v>
      </c>
      <c r="C34" t="str">
        <f>'Inputs - Flow Network'!$C$3</f>
        <v>Roundwood</v>
      </c>
      <c r="F34">
        <f>[1]Sheet1!H33</f>
        <v>33352126.546</v>
      </c>
      <c r="G34">
        <v>2021</v>
      </c>
    </row>
    <row r="35" spans="2:7">
      <c r="B35" t="s">
        <v>97</v>
      </c>
      <c r="C35" t="str">
        <f>'Inputs - Flow Network'!$C$3</f>
        <v>Roundwood</v>
      </c>
      <c r="F35">
        <f>[1]Sheet1!H34</f>
        <v>33352126.546</v>
      </c>
      <c r="G35">
        <v>2022</v>
      </c>
    </row>
    <row r="36" spans="2:7">
      <c r="B36" t="s">
        <v>97</v>
      </c>
      <c r="C36" t="str">
        <f>'Inputs - Flow Network'!$C$3</f>
        <v>Roundwood</v>
      </c>
      <c r="F36">
        <f>[1]Sheet1!H35</f>
        <v>26583833.232000001</v>
      </c>
      <c r="G36">
        <v>2023</v>
      </c>
    </row>
    <row r="37" spans="2:7">
      <c r="B37" t="s">
        <v>97</v>
      </c>
      <c r="C37" t="str">
        <f>'Inputs - Flow Network'!$C$3</f>
        <v>Roundwood</v>
      </c>
      <c r="F37">
        <f>[1]Sheet1!H36</f>
        <v>26583833.232000001</v>
      </c>
      <c r="G37">
        <v>2024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7"/>
  <sheetViews>
    <sheetView zoomScale="60" zoomScaleNormal="60" workbookViewId="0">
      <selection activeCell="G40" activeCellId="1" sqref="C31 G40"/>
    </sheetView>
  </sheetViews>
  <sheetFormatPr baseColWidth="10" defaultColWidth="10.42578125" defaultRowHeight="16"/>
  <cols>
    <col min="2" max="2" width="46.7109375" customWidth="1"/>
    <col min="3" max="3" width="30.140625" customWidth="1"/>
  </cols>
  <sheetData>
    <row r="1" spans="2:5" s="6" customFormat="1">
      <c r="B1" s="7" t="s">
        <v>98</v>
      </c>
      <c r="C1" s="7" t="s">
        <v>1</v>
      </c>
      <c r="D1" s="6" t="s">
        <v>99</v>
      </c>
    </row>
    <row r="3" spans="2:5">
      <c r="B3" t="s">
        <v>100</v>
      </c>
      <c r="C3" t="s">
        <v>12</v>
      </c>
    </row>
    <row r="4" spans="2:5">
      <c r="B4" t="s">
        <v>100</v>
      </c>
      <c r="C4" t="s">
        <v>13</v>
      </c>
    </row>
    <row r="5" spans="2:5">
      <c r="B5" t="s">
        <v>100</v>
      </c>
      <c r="C5" t="s">
        <v>15</v>
      </c>
    </row>
    <row r="6" spans="2:5">
      <c r="B6" t="s">
        <v>100</v>
      </c>
      <c r="C6" t="s">
        <v>17</v>
      </c>
    </row>
    <row r="7" spans="2:5">
      <c r="B7" t="s">
        <v>100</v>
      </c>
      <c r="C7" t="s">
        <v>101</v>
      </c>
    </row>
    <row r="9" spans="2:5" s="6" customFormat="1">
      <c r="B9" s="7" t="s">
        <v>102</v>
      </c>
      <c r="C9" s="7" t="s">
        <v>1</v>
      </c>
      <c r="D9" s="6" t="s">
        <v>52</v>
      </c>
      <c r="E9" s="6" t="s">
        <v>53</v>
      </c>
    </row>
    <row r="11" spans="2:5">
      <c r="B11" t="s">
        <v>103</v>
      </c>
      <c r="C11" t="s">
        <v>104</v>
      </c>
    </row>
    <row r="12" spans="2:5">
      <c r="B12" t="s">
        <v>103</v>
      </c>
      <c r="C12" t="s">
        <v>105</v>
      </c>
    </row>
    <row r="14" spans="2:5" s="6" customFormat="1">
      <c r="B14" s="7" t="s">
        <v>106</v>
      </c>
      <c r="C14" s="7" t="s">
        <v>107</v>
      </c>
      <c r="D14" s="7" t="s">
        <v>108</v>
      </c>
    </row>
    <row r="16" spans="2:5">
      <c r="B16" t="s">
        <v>109</v>
      </c>
      <c r="C16" t="str">
        <f>C11</f>
        <v>Less decomposable wastes</v>
      </c>
      <c r="D16" t="str">
        <f>C4</f>
        <v>Sawnwood</v>
      </c>
    </row>
    <row r="17" spans="2:7">
      <c r="B17" t="s">
        <v>109</v>
      </c>
      <c r="C17" t="str">
        <f>C11</f>
        <v>Less decomposable wastes</v>
      </c>
      <c r="D17" t="str">
        <f>C5</f>
        <v>Panels</v>
      </c>
    </row>
    <row r="19" spans="2:7">
      <c r="B19" t="s">
        <v>109</v>
      </c>
      <c r="C19" t="str">
        <f>C12</f>
        <v>Moderately decomposable wastes</v>
      </c>
      <c r="D19" t="str">
        <f>C6</f>
        <v>Paper</v>
      </c>
    </row>
    <row r="21" spans="2:7" s="6" customFormat="1">
      <c r="B21" s="7" t="s">
        <v>110</v>
      </c>
      <c r="C21" s="7" t="s">
        <v>1</v>
      </c>
      <c r="D21" s="6" t="s">
        <v>111</v>
      </c>
      <c r="E21" s="6" t="s">
        <v>112</v>
      </c>
      <c r="F21" s="6" t="s">
        <v>52</v>
      </c>
      <c r="G21" s="6" t="s">
        <v>53</v>
      </c>
    </row>
    <row r="23" spans="2:7" s="6" customFormat="1">
      <c r="B23" s="7" t="s">
        <v>113</v>
      </c>
      <c r="C23" s="7" t="s">
        <v>1</v>
      </c>
      <c r="D23" s="6" t="s">
        <v>52</v>
      </c>
      <c r="E23" s="6" t="s">
        <v>53</v>
      </c>
    </row>
    <row r="25" spans="2:7" s="6" customFormat="1">
      <c r="B25" s="7" t="s">
        <v>114</v>
      </c>
      <c r="C25" s="7" t="s">
        <v>115</v>
      </c>
      <c r="D25" s="7" t="s">
        <v>116</v>
      </c>
    </row>
    <row r="27" spans="2:7" s="6" customFormat="1">
      <c r="B27" s="7" t="s">
        <v>117</v>
      </c>
      <c r="C27" s="6" t="s">
        <v>1</v>
      </c>
      <c r="D27" s="6" t="s">
        <v>118</v>
      </c>
      <c r="E27" s="6" t="s">
        <v>53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2"/>
  <sheetViews>
    <sheetView zoomScale="60" zoomScaleNormal="60" workbookViewId="0">
      <selection activeCell="E30" activeCellId="1" sqref="C31 E30"/>
    </sheetView>
  </sheetViews>
  <sheetFormatPr baseColWidth="10" defaultColWidth="10.42578125" defaultRowHeight="16"/>
  <cols>
    <col min="2" max="2" width="29.7109375" customWidth="1"/>
    <col min="3" max="3" width="26.85546875" customWidth="1"/>
    <col min="4" max="4" width="25.28515625" customWidth="1"/>
    <col min="5" max="5" width="24" customWidth="1"/>
    <col min="6" max="6" width="33.7109375" customWidth="1"/>
  </cols>
  <sheetData>
    <row r="1" spans="2:6" s="6" customFormat="1">
      <c r="B1" s="7" t="s">
        <v>119</v>
      </c>
      <c r="C1" s="7" t="s">
        <v>1</v>
      </c>
      <c r="D1" s="6" t="s">
        <v>120</v>
      </c>
      <c r="E1" s="6" t="s">
        <v>52</v>
      </c>
      <c r="F1" s="6" t="s">
        <v>53</v>
      </c>
    </row>
    <row r="3" spans="2:6">
      <c r="B3" t="s">
        <v>121</v>
      </c>
      <c r="C3" t="s">
        <v>122</v>
      </c>
      <c r="F3" t="s">
        <v>123</v>
      </c>
    </row>
    <row r="4" spans="2:6">
      <c r="B4" t="s">
        <v>121</v>
      </c>
      <c r="C4" t="s">
        <v>124</v>
      </c>
      <c r="F4" t="s">
        <v>125</v>
      </c>
    </row>
    <row r="6" spans="2:6" s="6" customFormat="1">
      <c r="B6" s="7" t="s">
        <v>126</v>
      </c>
      <c r="C6" s="7" t="s">
        <v>1</v>
      </c>
      <c r="D6" s="6" t="s">
        <v>52</v>
      </c>
      <c r="E6" s="6" t="s">
        <v>53</v>
      </c>
    </row>
    <row r="8" spans="2:6">
      <c r="B8" t="s">
        <v>127</v>
      </c>
      <c r="C8" t="s">
        <v>128</v>
      </c>
    </row>
    <row r="9" spans="2:6">
      <c r="B9" t="s">
        <v>127</v>
      </c>
      <c r="C9" t="s">
        <v>129</v>
      </c>
    </row>
    <row r="11" spans="2:6" s="6" customFormat="1">
      <c r="B11" s="7" t="s">
        <v>130</v>
      </c>
      <c r="C11" s="7" t="s">
        <v>131</v>
      </c>
      <c r="D11" s="7" t="s">
        <v>132</v>
      </c>
      <c r="E11" s="7" t="s">
        <v>32</v>
      </c>
      <c r="F11" s="7" t="s">
        <v>133</v>
      </c>
    </row>
    <row r="13" spans="2:6">
      <c r="B13" t="s">
        <v>134</v>
      </c>
      <c r="C13" t="str">
        <f>C8</f>
        <v>Landfilled Wood Decay Curve</v>
      </c>
      <c r="D13" t="str">
        <f>C3</f>
        <v>Exponential decay, k=0.03</v>
      </c>
      <c r="E13" t="s">
        <v>55</v>
      </c>
      <c r="F13">
        <v>1</v>
      </c>
    </row>
    <row r="14" spans="2:6">
      <c r="B14" t="s">
        <v>134</v>
      </c>
      <c r="C14" t="str">
        <f>C9</f>
        <v>Landfilled Paper Decay Curve</v>
      </c>
      <c r="D14" t="str">
        <f>C4</f>
        <v>Exponential decay, k=0.06</v>
      </c>
      <c r="E14" t="s">
        <v>55</v>
      </c>
      <c r="F14">
        <v>1</v>
      </c>
    </row>
    <row r="16" spans="2:6" s="6" customFormat="1">
      <c r="B16" s="7" t="s">
        <v>135</v>
      </c>
      <c r="C16" s="7" t="s">
        <v>132</v>
      </c>
      <c r="D16" s="7" t="s">
        <v>136</v>
      </c>
      <c r="E16" s="7" t="s">
        <v>137</v>
      </c>
    </row>
    <row r="18" spans="2:5">
      <c r="B18" t="s">
        <v>138</v>
      </c>
      <c r="C18" t="str">
        <f>$C$3</f>
        <v>Exponential decay, k=0.03</v>
      </c>
      <c r="D18">
        <v>0</v>
      </c>
      <c r="E18">
        <v>1</v>
      </c>
    </row>
    <row r="19" spans="2:5">
      <c r="B19" t="s">
        <v>138</v>
      </c>
      <c r="C19" t="str">
        <f>$C$3</f>
        <v>Exponential decay, k=0.03</v>
      </c>
      <c r="D19">
        <v>1</v>
      </c>
      <c r="E19">
        <f>EXP(-0.03)</f>
        <v>0.97044553354850815</v>
      </c>
    </row>
    <row r="21" spans="2:5">
      <c r="B21" t="s">
        <v>138</v>
      </c>
      <c r="C21" t="str">
        <f>C4</f>
        <v>Exponential decay, k=0.06</v>
      </c>
      <c r="D21">
        <v>0</v>
      </c>
      <c r="E21">
        <v>1</v>
      </c>
    </row>
    <row r="22" spans="2:5">
      <c r="B22" t="s">
        <v>138</v>
      </c>
      <c r="C22" t="str">
        <f>C4</f>
        <v>Exponential decay, k=0.06</v>
      </c>
      <c r="D22">
        <v>1</v>
      </c>
      <c r="E22">
        <f>EXP(-0.06)</f>
        <v>0.94176453358424872</v>
      </c>
    </row>
  </sheetData>
  <conditionalFormatting sqref="B3 B8:B9">
    <cfRule type="expression" dxfId="1" priority="2">
      <formula>$C3="COMMENT"</formula>
    </cfRule>
  </conditionalFormatting>
  <conditionalFormatting sqref="B4:E4">
    <cfRule type="expression" dxfId="0" priority="3">
      <formula>$C4="COMMENT"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Landfill Module</vt:lpstr>
      <vt:lpstr>Inputs - Carbon</vt:lpstr>
      <vt:lpstr>Inputs - Tags</vt:lpstr>
      <vt:lpstr>Inputs - 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 H. Xie</dc:creator>
  <dc:description/>
  <cp:lastModifiedBy>Sheng H. Xie</cp:lastModifiedBy>
  <cp:revision>24</cp:revision>
  <dcterms:created xsi:type="dcterms:W3CDTF">2026-01-04T10:59:27Z</dcterms:created>
  <dcterms:modified xsi:type="dcterms:W3CDTF">2026-05-21T08:04:43Z</dcterms:modified>
  <dc:language>en-US</dc:language>
</cp:coreProperties>
</file>