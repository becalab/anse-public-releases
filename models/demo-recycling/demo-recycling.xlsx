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recycling/"/>
    </mc:Choice>
  </mc:AlternateContent>
  <xr:revisionPtr revIDLastSave="0" documentId="13_ncr:1_{F7EC7AC2-33D1-324C-9408-6832292F9390}" xr6:coauthVersionLast="47" xr6:coauthVersionMax="47" xr10:uidLastSave="{00000000-0000-0000-0000-000000000000}"/>
  <bookViews>
    <workbookView xWindow="14040" yWindow="600" windowWidth="37160" windowHeight="26880" xr2:uid="{73351A0E-E394-C94F-8AB9-3EA9DA143F24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Advanced Curves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  <c r="C97" i="1"/>
  <c r="D96" i="1"/>
  <c r="C96" i="1"/>
  <c r="D95" i="1"/>
  <c r="C95" i="1"/>
  <c r="D94" i="1"/>
  <c r="C94" i="1"/>
  <c r="H90" i="1"/>
  <c r="H91" i="1"/>
  <c r="H92" i="1"/>
  <c r="H89" i="1"/>
  <c r="E92" i="1"/>
  <c r="D92" i="1"/>
  <c r="C92" i="1"/>
  <c r="D91" i="1"/>
  <c r="C91" i="1"/>
  <c r="D90" i="1"/>
  <c r="C90" i="1"/>
  <c r="D89" i="1"/>
  <c r="C89" i="1"/>
  <c r="H85" i="1"/>
  <c r="H86" i="1"/>
  <c r="H87" i="1"/>
  <c r="H84" i="1"/>
  <c r="D87" i="1"/>
  <c r="D86" i="1"/>
  <c r="D85" i="1"/>
  <c r="D84" i="1"/>
  <c r="D82" i="1"/>
  <c r="D81" i="1"/>
  <c r="D80" i="1"/>
  <c r="D79" i="1"/>
  <c r="E87" i="1"/>
  <c r="C87" i="1"/>
  <c r="C86" i="1"/>
  <c r="C85" i="1"/>
  <c r="C84" i="1"/>
  <c r="E82" i="1"/>
  <c r="H80" i="1"/>
  <c r="H81" i="1"/>
  <c r="H82" i="1"/>
  <c r="H79" i="1"/>
  <c r="C80" i="1"/>
  <c r="C81" i="1"/>
  <c r="C82" i="1"/>
  <c r="C79" i="1"/>
  <c r="C77" i="1"/>
  <c r="E54" i="1"/>
  <c r="D54" i="1"/>
  <c r="C54" i="1"/>
  <c r="C55" i="1"/>
  <c r="C53" i="1"/>
  <c r="C16" i="1"/>
  <c r="C18" i="1"/>
  <c r="C46" i="1" s="1" a="1"/>
  <c r="C46" i="1" s="1"/>
  <c r="C17" i="1"/>
  <c r="C39" i="1" s="1"/>
  <c r="D10" i="1"/>
  <c r="C10" i="1"/>
  <c r="D40" i="1" s="1"/>
  <c r="E17" i="1"/>
  <c r="D17" i="1"/>
  <c r="I66" i="1"/>
  <c r="I67" i="1"/>
  <c r="I68" i="1"/>
  <c r="I65" i="1"/>
  <c r="G66" i="1"/>
  <c r="G67" i="1"/>
  <c r="G68" i="1"/>
  <c r="G65" i="1"/>
  <c r="D66" i="1"/>
  <c r="D67" i="1"/>
  <c r="D68" i="1"/>
  <c r="D65" i="1"/>
  <c r="I61" i="1"/>
  <c r="I62" i="1"/>
  <c r="I63" i="1"/>
  <c r="I60" i="1"/>
  <c r="D3" i="2"/>
  <c r="D2" i="2"/>
  <c r="D61" i="1"/>
  <c r="D62" i="1"/>
  <c r="D63" i="1"/>
  <c r="D60" i="1"/>
  <c r="G61" i="1"/>
  <c r="G62" i="1"/>
  <c r="G63" i="1"/>
  <c r="G60" i="1"/>
  <c r="D56" i="1"/>
  <c r="D55" i="1"/>
  <c r="D53" i="1"/>
  <c r="D19" i="1"/>
  <c r="D18" i="1"/>
  <c r="D16" i="1"/>
  <c r="D42" i="1" l="1"/>
  <c r="C38" i="1"/>
  <c r="C37" i="1"/>
  <c r="C40" i="1"/>
  <c r="E56" i="1"/>
  <c r="C56" i="1"/>
  <c r="C75" i="1" s="1"/>
  <c r="G71" i="1"/>
  <c r="G72" i="1"/>
  <c r="G73" i="1"/>
  <c r="G70" i="1"/>
  <c r="E19" i="1"/>
  <c r="C19" i="1"/>
  <c r="C48" i="1" s="1"/>
  <c r="D70" i="1"/>
  <c r="D71" i="1"/>
  <c r="D72" i="1"/>
  <c r="D73" i="1"/>
  <c r="E53" i="1"/>
  <c r="E55" i="1"/>
  <c r="E16" i="1"/>
  <c r="C12" i="1"/>
  <c r="C8" i="1"/>
  <c r="D35" i="1" s="1"/>
  <c r="C6" i="1"/>
  <c r="D45" i="1" s="1"/>
  <c r="C5" i="1"/>
  <c r="D44" i="1" s="1"/>
  <c r="C4" i="1"/>
  <c r="D43" i="1" s="1"/>
  <c r="C3" i="1"/>
  <c r="C3" i="2" s="1"/>
  <c r="C32" i="1"/>
  <c r="D8" i="1"/>
  <c r="D3" i="1"/>
  <c r="E18" i="1"/>
  <c r="D12" i="1"/>
  <c r="D5" i="1"/>
  <c r="D6" i="1"/>
  <c r="D4" i="1"/>
  <c r="D14" i="4"/>
  <c r="D10" i="4"/>
  <c r="C14" i="4"/>
  <c r="D14" i="5"/>
  <c r="C14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21" i="5"/>
  <c r="D49" i="1" l="1"/>
  <c r="D46" i="1"/>
  <c r="D33" i="1"/>
  <c r="D38" i="1"/>
  <c r="D34" i="1"/>
  <c r="D39" i="1"/>
  <c r="D32" i="1"/>
  <c r="D37" i="1"/>
  <c r="C68" i="1"/>
  <c r="C65" i="1"/>
  <c r="C66" i="1"/>
  <c r="C67" i="1"/>
  <c r="D31" i="1"/>
  <c r="C2" i="2"/>
  <c r="C63" i="1"/>
  <c r="C61" i="1"/>
  <c r="C62" i="1"/>
  <c r="C60" i="1"/>
  <c r="C49" i="1"/>
  <c r="C71" i="1"/>
  <c r="D48" i="1"/>
  <c r="C72" i="1"/>
  <c r="C70" i="1"/>
  <c r="C73" i="1"/>
  <c r="C35" i="1"/>
  <c r="C31" i="1"/>
  <c r="C34" i="1"/>
  <c r="C33" i="1"/>
  <c r="C45" i="1" l="1" a="1"/>
  <c r="C45" i="1" s="1"/>
  <c r="C44" i="1" a="1"/>
  <c r="C44" i="1" s="1"/>
  <c r="C43" i="1" a="1"/>
  <c r="C43" i="1" s="1"/>
  <c r="C42" i="1" a="1"/>
  <c r="C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  <author>tc={D05FF5F5-CA0B-B743-ABCF-B30F4C231AFF}</author>
  </authors>
  <commentList>
    <comment ref="D1" authorId="0" shapeId="0" xr:uid="{DE5AEED7-5306-0F41-A9F6-E09723C0708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" authorId="1" shapeId="0" xr:uid="{3CFD2D9D-03A4-3D43-B752-639C8A9DCDB2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H1" authorId="1" shapeId="0" xr:uid="{AE144688-A2B4-F142-9E42-AB258D32443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I1" authorId="1" shapeId="0" xr:uid="{10548B0F-45C8-2B40-81CC-02D44A03EDB8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K1" authorId="1" shapeId="0" xr:uid="{79A1913B-90BC-5643-9773-44EE0531D51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D14" authorId="0" shapeId="0" xr:uid="{0F0EF91A-6A2B-AF42-B0CE-76F64BCDFCAD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E14" authorId="0" shapeId="0" xr:uid="{F5AA7D95-F276-074C-9ED4-8C923FE06A2E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4" authorId="0" shapeId="0" xr:uid="{69409D6C-465E-1B44-BBA3-F285EDAE32E0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G14" authorId="0" shapeId="0" xr:uid="{E29E9985-673B-8944-B201-8155952DC7C9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J14" authorId="0" shapeId="0" xr:uid="{507231BE-77FA-294B-888E-FDFACCB62F22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This fiield's feature not currently supported</t>
        </r>
      </text>
    </comment>
    <comment ref="E29" authorId="1" shapeId="0" xr:uid="{9A8DBFB5-A8C4-5742-93BF-DAF4DC097001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>Boolean field; valid values are TRUE, FALSE, 1, 0</t>
        </r>
      </text>
    </comment>
    <comment ref="F29" authorId="0" shapeId="0" xr:uid="{9A461DFD-27AB-AC40-9F9F-FF5898DF746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 For EVENT_POOL that is not source of carbon for the given Event, Sequence Number corresponds to an ACTION_PARAMETER_OUT component with the same sequence number</t>
        </r>
      </text>
    </comment>
    <comment ref="G29" authorId="0" shapeId="0" xr:uid="{790CC2B7-7F78-1E49-8A29-02AD544379DB}">
      <text>
        <r>
          <rPr>
            <sz val="11"/>
            <color indexed="8"/>
            <rFont val="Helvetica Neue"/>
            <family val="2"/>
          </rPr>
          <t>Magnan, Michael:
Boolean field; valid values are TRUE, FALSE, 1, 0.
If left empty, default is false.</t>
        </r>
      </text>
    </comment>
    <comment ref="D51" authorId="0" shapeId="0" xr:uid="{CB8A6D56-690F-E44F-ABA7-045BB1E9BA3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name of the EVENT for which the ACTION_PARAMETER_SET will be relevant</t>
        </r>
      </text>
    </comment>
    <comment ref="E51" authorId="0" shapeId="0" xr:uid="{0770F6B7-9594-4340-B75D-00EAD4679E04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"UNIVERSE"</t>
        </r>
      </text>
    </comment>
    <comment ref="F51" authorId="0" shapeId="0" xr:uid="{1B7957D1-F128-AE48-86FE-5A39ACD0DF7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</t>
        </r>
      </text>
    </comment>
    <comment ref="G51" authorId="0" shapeId="0" xr:uid="{72DD9D24-3A22-B045-B80B-BE3842B8A588}">
      <text>
        <r>
          <rPr>
            <sz val="11"/>
            <color indexed="8"/>
            <rFont val="Helvetica Neue"/>
            <family val="2"/>
          </rPr>
          <t>Magnan, Michael:
String field for recording notes, such as the background reference source for the parameter</t>
        </r>
      </text>
    </comment>
    <comment ref="D58" authorId="0" shapeId="0" xr:uid="{00E1BBAA-B86A-8842-87A5-8788FA382A41}">
      <text>
        <r>
          <rPr>
            <sz val="11"/>
            <color indexed="8"/>
            <rFont val="Helvetica Neue"/>
            <family val="2"/>
          </rPr>
          <t>Magnan, Michael:
Integer field.</t>
        </r>
      </text>
    </comment>
    <comment ref="G58" authorId="2" shapeId="0" xr:uid="{D05FF5F5-CA0B-B743-ABCF-B30F4C231A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22" authorId="0" shapeId="0" xr:uid="{CC7F5D1D-B34F-1646-BA4F-A18CC3CBED25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EA202CC9-29F3-D843-B152-881A2002777E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  <comment ref="D1" authorId="0" shapeId="0" xr:uid="{1C18341E-17CA-F744-B49C-E9ECBCC81AB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E1" authorId="0" shapeId="0" xr:uid="{F0CC4848-5E49-0041-B3D5-0A6D38AC9A79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G1" authorId="0" shapeId="0" xr:uid="{0D59C2D4-07A0-9147-B057-CE565E9CA9C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<sst xmlns="http://schemas.openxmlformats.org/spreadsheetml/2006/main" count="522" uniqueCount="123">
  <si>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</si>
  <si>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</si>
  <si>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</si>
  <si>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</si>
  <si>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</si>
  <si>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</si>
  <si>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</si>
  <si>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</si>
  <si>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</si>
  <si>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</si>
  <si>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</si>
  <si>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</si>
  <si>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</si>
  <si>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</si>
  <si>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</si>
  <si>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</si>
  <si>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</si>
  <si>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</si>
  <si>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</si>
  <si>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</si>
  <si>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</si>
  <si>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</si>
  <si>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</si>
  <si>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</si>
  <si>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</si>
  <si>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</si>
  <si>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</si>
  <si>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</si>
  <si>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</si>
  <si>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</si>
  <si>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</si>
  <si>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</si>
  <si>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</si>
  <si>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</si>
  <si>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</si>
  <si>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</si>
  <si>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UNIVERSE</t>
  </si>
  <si>
    <t>Keyword: ACTION_PARAMETER_OUT</t>
  </si>
  <si>
    <t>Action_Parameter_Set(Name)</t>
  </si>
  <si>
    <t>Proportion</t>
  </si>
  <si>
    <t>New Physical State Name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</si>
  <si>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</si>
  <si>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</si>
  <si>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</si>
  <si>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</si>
  <si>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</si>
  <si>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</si>
  <si>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</si>
  <si>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</si>
  <si>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INITIAL_CMO</t>
  </si>
  <si>
    <t>IPCC default-paper</t>
  </si>
  <si>
    <t>IPCC default-sawnwood</t>
  </si>
  <si>
    <t>IPCC default-panels</t>
  </si>
  <si>
    <t>Keyword: PHYSICAL_STATE</t>
  </si>
  <si>
    <t xml:space="preserve">Description </t>
  </si>
  <si>
    <t>PHYSICAL_STATE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</si>
  <si>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</si>
  <si>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</si>
  <si>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</si>
  <si>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</si>
  <si>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</si>
  <si>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</si>
  <si>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</si>
  <si>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</si>
  <si>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</si>
  <si>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</si>
  <si>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</si>
  <si>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</si>
  <si>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</si>
  <si>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</si>
  <si>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</si>
  <si>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</si>
  <si>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ASU</t>
  </si>
  <si>
    <t>Keyword: ASU_GROUP_TYPE</t>
  </si>
  <si>
    <t>ASU_GROUP_TYPE</t>
  </si>
  <si>
    <t>Keyword: ASU_GROUP</t>
  </si>
  <si>
    <t>ASU_Group_Type(Name)</t>
  </si>
  <si>
    <t>ASU_GROUP</t>
  </si>
  <si>
    <t>Keyword: ASU_GROUP_MEMBER</t>
  </si>
  <si>
    <t>ASU(ID)</t>
  </si>
  <si>
    <t>ASU_GROUP_MEMBER</t>
  </si>
  <si>
    <t>Tag(Name)</t>
  </si>
  <si>
    <t>GIS_Id</t>
  </si>
  <si>
    <t>Includes: ASU_Group(Name)</t>
  </si>
  <si>
    <t>Keyword: CURVE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</si>
  <si>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</si>
  <si>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</si>
  <si>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</si>
  <si>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</si>
  <si>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</si>
  <si>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</si>
  <si>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</si>
  <si>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</si>
  <si>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Usage</t>
  </si>
  <si>
    <t>Is Retained</t>
  </si>
  <si>
    <t>Initial Age</t>
  </si>
  <si>
    <t>Tag (Name)</t>
  </si>
  <si>
    <t>CURVE</t>
  </si>
  <si>
    <t>initial</t>
  </si>
  <si>
    <t>Gamma (2.07 80.2)</t>
  </si>
  <si>
    <t>CURVE_POINT</t>
  </si>
  <si>
    <t>US Residential Gamma Retention</t>
  </si>
  <si>
    <t>CURVE_TYPE_MEMBER</t>
  </si>
  <si>
    <t>CURVE_TYPE</t>
  </si>
  <si>
    <t>Xie, 2015</t>
  </si>
  <si>
    <t>Roundwood</t>
  </si>
  <si>
    <t>Sawnwood</t>
  </si>
  <si>
    <t>Panels</t>
  </si>
  <si>
    <t>Paper</t>
  </si>
  <si>
    <t>SPECIES</t>
  </si>
  <si>
    <t>Softwood</t>
  </si>
  <si>
    <t>Hardwood</t>
  </si>
  <si>
    <t>Bioenergy</t>
  </si>
  <si>
    <t>ACTION_TYPE</t>
  </si>
  <si>
    <t>Manufacturing</t>
  </si>
  <si>
    <t>Combusting</t>
  </si>
  <si>
    <t>Company</t>
  </si>
  <si>
    <t>CAT</t>
  </si>
  <si>
    <t>Retiring</t>
  </si>
  <si>
    <t>Cascading</t>
  </si>
  <si>
    <t>Target</t>
  </si>
  <si>
    <t>Physical State Rule</t>
  </si>
  <si>
    <t>Species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</si>
</sst>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HelveticaNeue"/>
      <family val="2"/>
    </font>
    <font>
      <sz val="11"/>
      <color indexed="8"/>
      <name val="Helvetica Neue"/>
      <family val="2"/>
    </font>
    <font>
      <sz val="11"/>
      <color rgb="FF000000"/>
      <name val="Helvetica Neue"/>
      <family val="2"/>
    </font>
    <font>
      <b/>
      <sz val="12"/>
      <color theme="1"/>
      <name val="HelveticaNeue"/>
    </font>
    <font>
      <sz val="12"/>
      <color theme="1"/>
      <name val="HelveticaNeue"/>
    </font>
    <font>
      <sz val="12"/>
      <color rgb="FF000000"/>
      <name val="HelveticaNeue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0" fillId="2" borderId="0" xfId="0" applyFill="1"/>
    <xf numFmtId="0" fontId="5" fillId="0" borderId="0" xfId="0" applyFont="1"/>
    <xf numFmtId="0" fontId="0" fillId="3" borderId="0" xfId="0" applyFill="1"/>
  </cellXfs>
  <cellStyles count="1">
    <cellStyle name="Normal" xfId="0" builtinId="0"/>
  </cellStyles>
  <dxfs count="2">
    <dxf>
      <font>
        <color auto="1"/>
      </font>
      <fill>
        <patternFill patternType="solid">
          <bgColor rgb="FFFFFF99"/>
        </patternFill>
      </fill>
    </dxf>
    <dxf>
      <font>
        <color auto="1"/>
      </font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A4D05BEF-4657-FF44-A8C6-FF0953D4F337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8" personId="{A4D05BEF-4657-FF44-A8C6-FF0953D4F337}" id="{D05FF5F5-CA0B-B743-ABCF-B30F4C231AFF}">
    <text xml:space="preserve">The physical state into which the C mass is transformed. Must supply a distinct Physical State here (not Physical State Group)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300-5F44-C54A-ADD4-2A504DCCAD49}">
  <dimension ref="B1:L97"/>
  <sheetViews>
    <sheetView tabSelected="1" topLeftCell="A17" zoomScale="80" zoomScaleNormal="80" workbookViewId="0">
      <selection activeCell="F58" sqref="F58:I58"/>
    </sheetView>
  </sheetViews>
  <sheetFormatPr baseColWidth="10" defaultColWidth="7.5703125" defaultRowHeight="16" customHeight="1"/>
  <cols>
    <col min="1" max="1" width="13.1406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2:12" ht="16" customHeight="1">
      <c r="B3" t="s">
        <v>11</v>
      </c>
      <c r="C3" t="str">
        <f>"Roundwood, "&amp;'Inputs - Spatial'!$C$10</f>
        <v>Roundwood, CAT</v>
      </c>
      <c r="D3">
        <f>'Inputs - Spatial'!$C$2</f>
        <v>1725</v>
      </c>
    </row>
    <row r="4" spans="2:12" ht="16" customHeight="1">
      <c r="B4" t="s">
        <v>11</v>
      </c>
      <c r="C4" t="str">
        <f>"Sawnwood, "&amp;'Inputs - Spatial'!$C$10</f>
        <v>Sawnwood, CAT</v>
      </c>
      <c r="D4">
        <f>'Inputs - Spatial'!$C$2</f>
        <v>1725</v>
      </c>
      <c r="E4" t="s">
        <v>51</v>
      </c>
    </row>
    <row r="5" spans="2:12" ht="16" customHeight="1">
      <c r="B5" t="s">
        <v>11</v>
      </c>
      <c r="C5" t="str">
        <f>"Panels, "&amp;'Inputs - Spatial'!$C$10</f>
        <v>Panels, CAT</v>
      </c>
      <c r="D5">
        <f>'Inputs - Spatial'!$C$2</f>
        <v>1725</v>
      </c>
      <c r="E5" t="s">
        <v>52</v>
      </c>
    </row>
    <row r="6" spans="2:12" ht="16" customHeight="1">
      <c r="B6" t="s">
        <v>11</v>
      </c>
      <c r="C6" t="str">
        <f>"Paper, "&amp;'Inputs - Spatial'!$C$10</f>
        <v>Paper, CAT</v>
      </c>
      <c r="D6">
        <f>'Inputs - Spatial'!$C$2</f>
        <v>1725</v>
      </c>
      <c r="E6" t="s">
        <v>50</v>
      </c>
    </row>
    <row r="8" spans="2:12" ht="16" customHeight="1">
      <c r="B8" t="s">
        <v>11</v>
      </c>
      <c r="C8" s="4" t="str">
        <f>"Bioenergy, "&amp;'Inputs - Spatial'!$C$10</f>
        <v>Bioenergy, CAT</v>
      </c>
      <c r="D8">
        <f>'Inputs - Spatial'!$C$2</f>
        <v>1725</v>
      </c>
    </row>
    <row r="10" spans="2:12" ht="16" customHeight="1">
      <c r="B10" t="s">
        <v>11</v>
      </c>
      <c r="C10" t="str">
        <f>"Postconsumer Products, "&amp;'Inputs - Spatial'!C10</f>
        <v>Postconsumer Products, CAT</v>
      </c>
      <c r="D10">
        <f>'Inputs - Spatial'!$C$2</f>
        <v>1725</v>
      </c>
    </row>
    <row r="12" spans="2:12" ht="16" customHeight="1">
      <c r="B12" t="s">
        <v>11</v>
      </c>
      <c r="C12" t="str">
        <f>"CO2, "&amp;'Inputs - Spatial'!$C$10</f>
        <v>CO2, CAT</v>
      </c>
      <c r="D12">
        <f>'Inputs - Spatial'!$C$2</f>
        <v>1725</v>
      </c>
    </row>
    <row r="14" spans="2:12" s="3" customFormat="1" ht="16" customHeight="1">
      <c r="B14" s="2" t="s">
        <v>12</v>
      </c>
      <c r="C14" s="2" t="s">
        <v>1</v>
      </c>
      <c r="D14" s="2" t="s">
        <v>13</v>
      </c>
      <c r="E14" s="2" t="s">
        <v>2</v>
      </c>
      <c r="F14" s="3" t="s">
        <v>14</v>
      </c>
      <c r="G14" s="3" t="s">
        <v>15</v>
      </c>
      <c r="H14" s="3" t="s">
        <v>16</v>
      </c>
      <c r="I14" s="3" t="s">
        <v>17</v>
      </c>
      <c r="J14" s="3" t="s">
        <v>18</v>
      </c>
      <c r="K14" s="3" t="s">
        <v>19</v>
      </c>
      <c r="L14" s="3" t="s">
        <v>10</v>
      </c>
    </row>
    <row r="16" spans="2:12" ht="16" customHeight="1">
      <c r="B16" t="s">
        <v>20</v>
      </c>
      <c r="C16" t="str">
        <f>"Commodity Manufacturing, "&amp;'Inputs - Spatial'!C10</f>
        <v>Commodity Manufacturing, CAT</v>
      </c>
      <c r="D16" t="str">
        <f>C23</f>
        <v>Manufacturing</v>
      </c>
      <c r="E16">
        <f>'Inputs - Spatial'!$C$2</f>
        <v>1725</v>
      </c>
    </row>
    <row r="17" spans="2:7" ht="16" customHeight="1">
      <c r="B17" t="s">
        <v>20</v>
      </c>
      <c r="C17" t="str">
        <f>"Retiring, "&amp;'Inputs - Spatial'!C10</f>
        <v>Retiring, CAT</v>
      </c>
      <c r="D17" t="str">
        <f>C24</f>
        <v>Retiring</v>
      </c>
      <c r="E17">
        <f>'Inputs - Spatial'!$C$2</f>
        <v>1725</v>
      </c>
    </row>
    <row r="18" spans="2:7" ht="16" customHeight="1">
      <c r="B18" t="s">
        <v>20</v>
      </c>
      <c r="C18" t="str">
        <f>"End of Life Cascading, "&amp;'Inputs - Spatial'!$C$10</f>
        <v>End of Life Cascading, CAT</v>
      </c>
      <c r="D18" t="str">
        <f>C25</f>
        <v>Cascading</v>
      </c>
      <c r="E18">
        <f>'Inputs - Spatial'!$C$2</f>
        <v>1725</v>
      </c>
    </row>
    <row r="19" spans="2:7" ht="16" customHeight="1">
      <c r="B19" t="s">
        <v>20</v>
      </c>
      <c r="C19" t="str">
        <f>"Combusting, "&amp;'Inputs - Spatial'!$C$10</f>
        <v>Combusting, CAT</v>
      </c>
      <c r="D19" t="str">
        <f>C26</f>
        <v>Combusting</v>
      </c>
      <c r="E19">
        <f>'Inputs - Spatial'!$C$2</f>
        <v>1725</v>
      </c>
    </row>
    <row r="21" spans="2:7" s="3" customFormat="1" ht="16" customHeight="1">
      <c r="B21" s="2" t="s">
        <v>21</v>
      </c>
      <c r="C21" s="2" t="s">
        <v>22</v>
      </c>
    </row>
    <row r="23" spans="2:7" ht="16" customHeight="1">
      <c r="B23" t="s">
        <v>113</v>
      </c>
      <c r="C23" t="s">
        <v>114</v>
      </c>
    </row>
    <row r="24" spans="2:7" ht="16" customHeight="1">
      <c r="B24" t="s">
        <v>113</v>
      </c>
      <c r="C24" t="s">
        <v>118</v>
      </c>
    </row>
    <row r="25" spans="2:7" ht="16" customHeight="1">
      <c r="B25" t="s">
        <v>113</v>
      </c>
      <c r="C25" t="s">
        <v>119</v>
      </c>
    </row>
    <row r="26" spans="2:7" ht="16" customHeight="1">
      <c r="B26" t="s">
        <v>113</v>
      </c>
      <c r="C26" t="s">
        <v>115</v>
      </c>
    </row>
    <row r="29" spans="2:7" s="3" customFormat="1" ht="16" customHeight="1">
      <c r="B29" s="2" t="s">
        <v>23</v>
      </c>
      <c r="C29" s="2" t="s">
        <v>24</v>
      </c>
      <c r="D29" s="2" t="s">
        <v>25</v>
      </c>
      <c r="E29" s="2" t="s">
        <v>26</v>
      </c>
      <c r="F29" s="2" t="s">
        <v>27</v>
      </c>
      <c r="G29" s="3" t="s">
        <v>28</v>
      </c>
    </row>
    <row r="31" spans="2:7" ht="16" customHeight="1">
      <c r="B31" t="s">
        <v>29</v>
      </c>
      <c r="C31" t="str">
        <f>$C$16</f>
        <v>Commodity Manufacturing, CAT</v>
      </c>
      <c r="D31" t="str">
        <f>C3</f>
        <v>Roundwood, CAT</v>
      </c>
      <c r="E31" t="b">
        <v>1</v>
      </c>
      <c r="F31">
        <v>1</v>
      </c>
    </row>
    <row r="32" spans="2:7" ht="16" customHeight="1">
      <c r="B32" t="s">
        <v>29</v>
      </c>
      <c r="C32" t="str">
        <f t="shared" ref="C32:C35" si="0">$C$16</f>
        <v>Commodity Manufacturing, CAT</v>
      </c>
      <c r="D32" t="str">
        <f>C4</f>
        <v>Sawnwood, CAT</v>
      </c>
      <c r="E32" t="b">
        <v>0</v>
      </c>
      <c r="F32">
        <v>1</v>
      </c>
    </row>
    <row r="33" spans="2:7" ht="16" customHeight="1">
      <c r="B33" t="s">
        <v>29</v>
      </c>
      <c r="C33" t="str">
        <f t="shared" si="0"/>
        <v>Commodity Manufacturing, CAT</v>
      </c>
      <c r="D33" t="str">
        <f>C5</f>
        <v>Panels, CAT</v>
      </c>
      <c r="E33" t="b">
        <v>0</v>
      </c>
      <c r="F33">
        <v>2</v>
      </c>
    </row>
    <row r="34" spans="2:7" ht="16" customHeight="1">
      <c r="B34" t="s">
        <v>29</v>
      </c>
      <c r="C34" t="str">
        <f t="shared" si="0"/>
        <v>Commodity Manufacturing, CAT</v>
      </c>
      <c r="D34" t="str">
        <f>C6</f>
        <v>Paper, CAT</v>
      </c>
      <c r="E34" t="b">
        <v>0</v>
      </c>
      <c r="F34">
        <v>3</v>
      </c>
    </row>
    <row r="35" spans="2:7" ht="16" customHeight="1">
      <c r="B35" t="s">
        <v>29</v>
      </c>
      <c r="C35" t="str">
        <f t="shared" si="0"/>
        <v>Commodity Manufacturing, CAT</v>
      </c>
      <c r="D35" t="str">
        <f>C8</f>
        <v>Bioenergy, CAT</v>
      </c>
      <c r="E35" t="b">
        <v>0</v>
      </c>
      <c r="F35">
        <v>4</v>
      </c>
    </row>
    <row r="37" spans="2:7" ht="16" customHeight="1">
      <c r="B37" t="s">
        <v>29</v>
      </c>
      <c r="C37" t="str">
        <f>$C$17</f>
        <v>Retiring, CAT</v>
      </c>
      <c r="D37" t="str">
        <f>C4</f>
        <v>Sawnwood, CAT</v>
      </c>
      <c r="E37" t="b">
        <v>1</v>
      </c>
      <c r="F37">
        <v>1</v>
      </c>
    </row>
    <row r="38" spans="2:7" ht="16" customHeight="1">
      <c r="B38" t="s">
        <v>29</v>
      </c>
      <c r="C38" t="str">
        <f t="shared" ref="C38:C40" si="1">$C$17</f>
        <v>Retiring, CAT</v>
      </c>
      <c r="D38" t="str">
        <f t="shared" ref="D38:D39" si="2">C5</f>
        <v>Panels, CAT</v>
      </c>
      <c r="E38" t="b">
        <v>1</v>
      </c>
      <c r="F38">
        <v>2</v>
      </c>
    </row>
    <row r="39" spans="2:7" ht="16" customHeight="1">
      <c r="B39" t="s">
        <v>29</v>
      </c>
      <c r="C39" t="str">
        <f t="shared" si="1"/>
        <v>Retiring, CAT</v>
      </c>
      <c r="D39" t="str">
        <f t="shared" si="2"/>
        <v>Paper, CAT</v>
      </c>
      <c r="E39" t="b">
        <v>1</v>
      </c>
      <c r="F39">
        <v>3</v>
      </c>
    </row>
    <row r="40" spans="2:7" ht="16" customHeight="1">
      <c r="B40" t="s">
        <v>29</v>
      </c>
      <c r="C40" t="str">
        <f t="shared" si="1"/>
        <v>Retiring, CAT</v>
      </c>
      <c r="D40" t="str">
        <f>C10</f>
        <v>Postconsumer Products, CAT</v>
      </c>
      <c r="E40" t="b">
        <v>0</v>
      </c>
      <c r="F40">
        <v>1</v>
      </c>
    </row>
    <row r="42" spans="2:7" ht="16" customHeight="1">
      <c r="B42" t="s">
        <v>29</v>
      </c>
      <c r="C42" t="str" cm="1">
        <f t="array" ref="C42">$C$18</f>
        <v>End of Life Cascading, CAT</v>
      </c>
      <c r="D42" t="str">
        <f>C10</f>
        <v>Postconsumer Products, CAT</v>
      </c>
      <c r="E42" t="b">
        <v>1</v>
      </c>
      <c r="F42">
        <v>1</v>
      </c>
    </row>
    <row r="43" spans="2:7" ht="16" customHeight="1">
      <c r="B43" t="s">
        <v>29</v>
      </c>
      <c r="C43" t="str" cm="1">
        <f t="array" ref="C43">$C$18</f>
        <v>End of Life Cascading, CAT</v>
      </c>
      <c r="D43" t="str">
        <f>C4</f>
        <v>Sawnwood, CAT</v>
      </c>
      <c r="E43" t="b">
        <v>0</v>
      </c>
      <c r="F43">
        <v>1</v>
      </c>
      <c r="G43" t="b">
        <v>1</v>
      </c>
    </row>
    <row r="44" spans="2:7" ht="16" customHeight="1">
      <c r="B44" t="s">
        <v>29</v>
      </c>
      <c r="C44" t="str" cm="1">
        <f t="array" ref="C44">$C$18</f>
        <v>End of Life Cascading, CAT</v>
      </c>
      <c r="D44" t="str">
        <f>C5</f>
        <v>Panels, CAT</v>
      </c>
      <c r="E44" t="b">
        <v>0</v>
      </c>
      <c r="F44">
        <v>2</v>
      </c>
      <c r="G44" t="b">
        <v>1</v>
      </c>
    </row>
    <row r="45" spans="2:7" ht="16" customHeight="1">
      <c r="B45" t="s">
        <v>29</v>
      </c>
      <c r="C45" t="str" cm="1">
        <f t="array" ref="C45">$C$18</f>
        <v>End of Life Cascading, CAT</v>
      </c>
      <c r="D45" t="str">
        <f>C6</f>
        <v>Paper, CAT</v>
      </c>
      <c r="E45" t="b">
        <v>0</v>
      </c>
      <c r="F45">
        <v>3</v>
      </c>
      <c r="G45" t="b">
        <v>1</v>
      </c>
    </row>
    <row r="46" spans="2:7" ht="16" customHeight="1">
      <c r="B46" t="s">
        <v>29</v>
      </c>
      <c r="C46" t="str" cm="1">
        <f t="array" ref="C46">$C$18</f>
        <v>End of Life Cascading, CAT</v>
      </c>
      <c r="D46" t="str">
        <f>C12</f>
        <v>CO2, CAT</v>
      </c>
      <c r="E46" t="b">
        <v>0</v>
      </c>
      <c r="F46">
        <v>4</v>
      </c>
    </row>
    <row r="48" spans="2:7" ht="16" customHeight="1">
      <c r="B48" t="s">
        <v>29</v>
      </c>
      <c r="C48" t="str">
        <f>$C$19</f>
        <v>Combusting, CAT</v>
      </c>
      <c r="D48" t="str">
        <f>C8</f>
        <v>Bioenergy, CAT</v>
      </c>
      <c r="E48" t="b">
        <v>1</v>
      </c>
      <c r="F48">
        <v>1</v>
      </c>
    </row>
    <row r="49" spans="2:10" ht="16" customHeight="1">
      <c r="B49" t="s">
        <v>29</v>
      </c>
      <c r="C49" t="str">
        <f>$C$19</f>
        <v>Combusting, CAT</v>
      </c>
      <c r="D49" t="str">
        <f>C12</f>
        <v>CO2, CAT</v>
      </c>
      <c r="E49" t="b">
        <v>0</v>
      </c>
      <c r="F49">
        <v>1</v>
      </c>
    </row>
    <row r="51" spans="2:10" s="3" customFormat="1" ht="16" customHeight="1">
      <c r="B51" s="2" t="s">
        <v>30</v>
      </c>
      <c r="C51" s="2" t="s">
        <v>1</v>
      </c>
      <c r="D51" s="2" t="s">
        <v>31</v>
      </c>
      <c r="E51" s="2" t="s">
        <v>19</v>
      </c>
      <c r="F51" s="3" t="s">
        <v>32</v>
      </c>
      <c r="G51" s="3" t="s">
        <v>33</v>
      </c>
      <c r="H51" s="3" t="s">
        <v>34</v>
      </c>
    </row>
    <row r="53" spans="2:10" ht="16" customHeight="1">
      <c r="B53" t="s">
        <v>35</v>
      </c>
      <c r="C53" t="str">
        <f>"Commodity Recovery Shares, "&amp;'Inputs - Spatial'!$C$10</f>
        <v>Commodity Recovery Shares, CAT</v>
      </c>
      <c r="D53" t="str">
        <f>C23</f>
        <v>Manufacturing</v>
      </c>
      <c r="E53" t="str">
        <f>'Inputs - Spatial'!$C$10</f>
        <v>CAT</v>
      </c>
    </row>
    <row r="54" spans="2:10" ht="16" customHeight="1">
      <c r="B54" t="s">
        <v>35</v>
      </c>
      <c r="C54" t="str">
        <f>"Commodity Retiring, "&amp;'Inputs - Spatial'!$C$10</f>
        <v>Commodity Retiring, CAT</v>
      </c>
      <c r="D54" t="str">
        <f>D17</f>
        <v>Retiring</v>
      </c>
      <c r="E54" t="str">
        <f>'Inputs - Spatial'!$C$10</f>
        <v>CAT</v>
      </c>
    </row>
    <row r="55" spans="2:10" ht="16" customHeight="1">
      <c r="B55" t="s">
        <v>35</v>
      </c>
      <c r="C55" t="str">
        <f>"End of Life Practices, "&amp;'Inputs - Spatial'!$C$10</f>
        <v>End of Life Practices, CAT</v>
      </c>
      <c r="D55" t="str">
        <f>C25</f>
        <v>Cascading</v>
      </c>
      <c r="E55" t="str">
        <f>'Inputs - Spatial'!$C$10</f>
        <v>CAT</v>
      </c>
    </row>
    <row r="56" spans="2:10" ht="16" customHeight="1">
      <c r="B56" t="s">
        <v>35</v>
      </c>
      <c r="C56" t="str">
        <f>"Combustion Parameters, "&amp;'Inputs - Spatial'!$C$10</f>
        <v>Combustion Parameters, CAT</v>
      </c>
      <c r="D56" t="str">
        <f>C26</f>
        <v>Combusting</v>
      </c>
      <c r="E56" t="str">
        <f>'Inputs - Spatial'!$C$10</f>
        <v>CAT</v>
      </c>
    </row>
    <row r="58" spans="2:10" s="3" customFormat="1" ht="16" customHeight="1">
      <c r="B58" s="2" t="s">
        <v>37</v>
      </c>
      <c r="C58" s="2" t="s">
        <v>38</v>
      </c>
      <c r="D58" s="2" t="s">
        <v>27</v>
      </c>
      <c r="E58" s="2" t="s">
        <v>39</v>
      </c>
      <c r="F58" s="5" t="s">
        <v>120</v>
      </c>
      <c r="G58" s="5" t="s">
        <v>40</v>
      </c>
      <c r="H58" s="5" t="s">
        <v>121</v>
      </c>
      <c r="I58" s="5" t="s">
        <v>122</v>
      </c>
      <c r="J58" s="3" t="s">
        <v>41</v>
      </c>
    </row>
    <row r="60" spans="2:10" ht="16" customHeight="1">
      <c r="B60" t="s">
        <v>42</v>
      </c>
      <c r="C60" t="str">
        <f>$C$53</f>
        <v>Commodity Recovery Shares, CAT</v>
      </c>
      <c r="D60">
        <f>F32</f>
        <v>1</v>
      </c>
      <c r="E60">
        <v>0</v>
      </c>
      <c r="G60" t="str">
        <f>'Inputs - Categorical'!C4</f>
        <v>Sawnwood</v>
      </c>
      <c r="I60" t="str">
        <f>'Inputs - Categorical'!$C$16</f>
        <v>Hardwood</v>
      </c>
    </row>
    <row r="61" spans="2:10" ht="16" customHeight="1">
      <c r="B61" t="s">
        <v>42</v>
      </c>
      <c r="C61" t="str">
        <f t="shared" ref="C61:C63" si="3">$C$53</f>
        <v>Commodity Recovery Shares, CAT</v>
      </c>
      <c r="D61">
        <f t="shared" ref="D61:D63" si="4">F33</f>
        <v>2</v>
      </c>
      <c r="E61">
        <v>0</v>
      </c>
      <c r="G61" t="str">
        <f>'Inputs - Categorical'!C5</f>
        <v>Panels</v>
      </c>
      <c r="I61" t="str">
        <f>'Inputs - Categorical'!$C$16</f>
        <v>Hardwood</v>
      </c>
    </row>
    <row r="62" spans="2:10" ht="16" customHeight="1">
      <c r="B62" t="s">
        <v>42</v>
      </c>
      <c r="C62" t="str">
        <f t="shared" si="3"/>
        <v>Commodity Recovery Shares, CAT</v>
      </c>
      <c r="D62">
        <f t="shared" si="4"/>
        <v>3</v>
      </c>
      <c r="E62">
        <v>1</v>
      </c>
      <c r="G62" t="str">
        <f>'Inputs - Categorical'!C6</f>
        <v>Paper</v>
      </c>
      <c r="I62" t="str">
        <f>'Inputs - Categorical'!$C$16</f>
        <v>Hardwood</v>
      </c>
    </row>
    <row r="63" spans="2:10" ht="16" customHeight="1">
      <c r="B63" t="s">
        <v>42</v>
      </c>
      <c r="C63" t="str">
        <f t="shared" si="3"/>
        <v>Commodity Recovery Shares, CAT</v>
      </c>
      <c r="D63">
        <f t="shared" si="4"/>
        <v>4</v>
      </c>
      <c r="E63">
        <v>0</v>
      </c>
      <c r="G63" t="str">
        <f>'Inputs - Categorical'!C7</f>
        <v>Bioenergy</v>
      </c>
      <c r="I63" t="str">
        <f>'Inputs - Categorical'!$C$16</f>
        <v>Hardwood</v>
      </c>
    </row>
    <row r="65" spans="2:9" ht="16" customHeight="1">
      <c r="B65" t="s">
        <v>42</v>
      </c>
      <c r="C65" t="str">
        <f>$C$53</f>
        <v>Commodity Recovery Shares, CAT</v>
      </c>
      <c r="D65">
        <f>F32</f>
        <v>1</v>
      </c>
      <c r="E65">
        <v>0.4</v>
      </c>
      <c r="G65" t="str">
        <f>'Inputs - Categorical'!C4</f>
        <v>Sawnwood</v>
      </c>
      <c r="I65" t="str">
        <f>'Inputs - Categorical'!$C$15</f>
        <v>Softwood</v>
      </c>
    </row>
    <row r="66" spans="2:9" ht="16" customHeight="1">
      <c r="B66" t="s">
        <v>42</v>
      </c>
      <c r="C66" t="str">
        <f t="shared" ref="C66:C68" si="5">$C$53</f>
        <v>Commodity Recovery Shares, CAT</v>
      </c>
      <c r="D66">
        <f t="shared" ref="D66:D68" si="6">F33</f>
        <v>2</v>
      </c>
      <c r="E66">
        <v>0.2</v>
      </c>
      <c r="G66" t="str">
        <f>'Inputs - Categorical'!C5</f>
        <v>Panels</v>
      </c>
      <c r="I66" t="str">
        <f>'Inputs - Categorical'!$C$15</f>
        <v>Softwood</v>
      </c>
    </row>
    <row r="67" spans="2:9" ht="16" customHeight="1">
      <c r="B67" t="s">
        <v>42</v>
      </c>
      <c r="C67" t="str">
        <f t="shared" si="5"/>
        <v>Commodity Recovery Shares, CAT</v>
      </c>
      <c r="D67">
        <f t="shared" si="6"/>
        <v>3</v>
      </c>
      <c r="E67">
        <v>0.4</v>
      </c>
      <c r="G67" t="str">
        <f>'Inputs - Categorical'!C6</f>
        <v>Paper</v>
      </c>
      <c r="I67" t="str">
        <f>'Inputs - Categorical'!$C$15</f>
        <v>Softwood</v>
      </c>
    </row>
    <row r="68" spans="2:9" ht="16" customHeight="1">
      <c r="B68" t="s">
        <v>42</v>
      </c>
      <c r="C68" t="str">
        <f t="shared" si="5"/>
        <v>Commodity Recovery Shares, CAT</v>
      </c>
      <c r="D68">
        <f t="shared" si="6"/>
        <v>4</v>
      </c>
      <c r="E68">
        <v>0</v>
      </c>
      <c r="G68" t="str">
        <f>'Inputs - Categorical'!C7</f>
        <v>Bioenergy</v>
      </c>
      <c r="I68" t="str">
        <f>'Inputs - Categorical'!$C$15</f>
        <v>Softwood</v>
      </c>
    </row>
    <row r="70" spans="2:9" ht="16" customHeight="1">
      <c r="B70" t="s">
        <v>42</v>
      </c>
      <c r="C70" t="str">
        <f>$C$53</f>
        <v>Commodity Recovery Shares, CAT</v>
      </c>
      <c r="D70">
        <f t="shared" ref="D70:D73" si="7">F32</f>
        <v>1</v>
      </c>
      <c r="E70">
        <v>0</v>
      </c>
      <c r="G70" t="str">
        <f>'Inputs - Categorical'!C4</f>
        <v>Sawnwood</v>
      </c>
    </row>
    <row r="71" spans="2:9" ht="16" customHeight="1">
      <c r="B71" t="s">
        <v>42</v>
      </c>
      <c r="C71" t="str">
        <f t="shared" ref="C71:C73" si="8">$C$53</f>
        <v>Commodity Recovery Shares, CAT</v>
      </c>
      <c r="D71">
        <f t="shared" si="7"/>
        <v>2</v>
      </c>
      <c r="E71">
        <v>0</v>
      </c>
      <c r="G71" t="str">
        <f>'Inputs - Categorical'!C5</f>
        <v>Panels</v>
      </c>
    </row>
    <row r="72" spans="2:9" ht="16" customHeight="1">
      <c r="B72" t="s">
        <v>42</v>
      </c>
      <c r="C72" t="str">
        <f t="shared" si="8"/>
        <v>Commodity Recovery Shares, CAT</v>
      </c>
      <c r="D72">
        <f t="shared" si="7"/>
        <v>3</v>
      </c>
      <c r="E72">
        <v>0</v>
      </c>
      <c r="G72" t="str">
        <f>'Inputs - Categorical'!C6</f>
        <v>Paper</v>
      </c>
    </row>
    <row r="73" spans="2:9" ht="16" customHeight="1">
      <c r="B73" t="s">
        <v>42</v>
      </c>
      <c r="C73" t="str">
        <f t="shared" si="8"/>
        <v>Commodity Recovery Shares, CAT</v>
      </c>
      <c r="D73">
        <f t="shared" si="7"/>
        <v>4</v>
      </c>
      <c r="E73">
        <v>1</v>
      </c>
      <c r="G73" t="str">
        <f>'Inputs - Categorical'!C7</f>
        <v>Bioenergy</v>
      </c>
    </row>
    <row r="75" spans="2:9" ht="16" customHeight="1">
      <c r="B75" t="s">
        <v>42</v>
      </c>
      <c r="C75" t="str">
        <f>C56</f>
        <v>Combustion Parameters, CAT</v>
      </c>
      <c r="D75">
        <v>1</v>
      </c>
      <c r="E75">
        <v>1</v>
      </c>
    </row>
    <row r="77" spans="2:9" ht="16" customHeight="1">
      <c r="B77" t="s">
        <v>42</v>
      </c>
      <c r="C77" t="str">
        <f>C54</f>
        <v>Commodity Retiring, CAT</v>
      </c>
      <c r="D77">
        <v>1</v>
      </c>
      <c r="E77">
        <v>1</v>
      </c>
    </row>
    <row r="79" spans="2:9" ht="16" customHeight="1">
      <c r="B79" t="s">
        <v>42</v>
      </c>
      <c r="C79" t="str">
        <f>$C$55</f>
        <v>End of Life Practices, CAT</v>
      </c>
      <c r="D79">
        <f>$F$43</f>
        <v>1</v>
      </c>
      <c r="E79">
        <v>0.05</v>
      </c>
      <c r="H79" t="str">
        <f>'Inputs - Categorical'!$C$4</f>
        <v>Sawnwood</v>
      </c>
    </row>
    <row r="80" spans="2:9" ht="16" customHeight="1">
      <c r="B80" t="s">
        <v>42</v>
      </c>
      <c r="C80" t="str">
        <f t="shared" ref="C80:C82" si="9">$C$55</f>
        <v>End of Life Practices, CAT</v>
      </c>
      <c r="D80">
        <f>$F$44</f>
        <v>2</v>
      </c>
      <c r="E80">
        <v>0.2</v>
      </c>
      <c r="H80" t="str">
        <f>'Inputs - Categorical'!$C$4</f>
        <v>Sawnwood</v>
      </c>
    </row>
    <row r="81" spans="2:8" ht="16" customHeight="1">
      <c r="B81" t="s">
        <v>42</v>
      </c>
      <c r="C81" t="str">
        <f t="shared" si="9"/>
        <v>End of Life Practices, CAT</v>
      </c>
      <c r="D81">
        <f>$F$45</f>
        <v>3</v>
      </c>
      <c r="E81">
        <v>0.55000000000000004</v>
      </c>
      <c r="H81" t="str">
        <f>'Inputs - Categorical'!$C$4</f>
        <v>Sawnwood</v>
      </c>
    </row>
    <row r="82" spans="2:8" ht="16" customHeight="1">
      <c r="B82" t="s">
        <v>42</v>
      </c>
      <c r="C82" t="str">
        <f t="shared" si="9"/>
        <v>End of Life Practices, CAT</v>
      </c>
      <c r="D82">
        <f>$F$46</f>
        <v>4</v>
      </c>
      <c r="E82">
        <f>1-SUM(E79:E81)</f>
        <v>0.19999999999999996</v>
      </c>
      <c r="H82" t="str">
        <f>'Inputs - Categorical'!$C$4</f>
        <v>Sawnwood</v>
      </c>
    </row>
    <row r="84" spans="2:8" ht="16" customHeight="1">
      <c r="B84" t="s">
        <v>42</v>
      </c>
      <c r="C84" t="str">
        <f>$C$55</f>
        <v>End of Life Practices, CAT</v>
      </c>
      <c r="D84">
        <f>$F$43</f>
        <v>1</v>
      </c>
      <c r="E84">
        <v>0</v>
      </c>
      <c r="H84" t="str">
        <f>'Inputs - Categorical'!$C$5</f>
        <v>Panels</v>
      </c>
    </row>
    <row r="85" spans="2:8" ht="16" customHeight="1">
      <c r="B85" t="s">
        <v>42</v>
      </c>
      <c r="C85" t="str">
        <f t="shared" ref="C85:C87" si="10">$C$55</f>
        <v>End of Life Practices, CAT</v>
      </c>
      <c r="D85">
        <f>$F$44</f>
        <v>2</v>
      </c>
      <c r="E85">
        <v>0.4</v>
      </c>
      <c r="H85" t="str">
        <f>'Inputs - Categorical'!$C$5</f>
        <v>Panels</v>
      </c>
    </row>
    <row r="86" spans="2:8" ht="16" customHeight="1">
      <c r="B86" t="s">
        <v>42</v>
      </c>
      <c r="C86" t="str">
        <f t="shared" si="10"/>
        <v>End of Life Practices, CAT</v>
      </c>
      <c r="D86">
        <f>$F$45</f>
        <v>3</v>
      </c>
      <c r="E86">
        <v>0.4</v>
      </c>
      <c r="H86" t="str">
        <f>'Inputs - Categorical'!$C$5</f>
        <v>Panels</v>
      </c>
    </row>
    <row r="87" spans="2:8" ht="16" customHeight="1">
      <c r="B87" t="s">
        <v>42</v>
      </c>
      <c r="C87" t="str">
        <f t="shared" si="10"/>
        <v>End of Life Practices, CAT</v>
      </c>
      <c r="D87">
        <f>$F$46</f>
        <v>4</v>
      </c>
      <c r="E87">
        <f>1-SUM(E84:E86)</f>
        <v>0.19999999999999996</v>
      </c>
      <c r="H87" t="str">
        <f>'Inputs - Categorical'!$C$5</f>
        <v>Panels</v>
      </c>
    </row>
    <row r="89" spans="2:8" ht="16" customHeight="1">
      <c r="B89" t="s">
        <v>42</v>
      </c>
      <c r="C89" t="str">
        <f>$C$55</f>
        <v>End of Life Practices, CAT</v>
      </c>
      <c r="D89">
        <f>$F$43</f>
        <v>1</v>
      </c>
      <c r="E89">
        <v>0</v>
      </c>
      <c r="H89" t="str">
        <f>'Inputs - Categorical'!$C$6</f>
        <v>Paper</v>
      </c>
    </row>
    <row r="90" spans="2:8" ht="16" customHeight="1">
      <c r="B90" t="s">
        <v>42</v>
      </c>
      <c r="C90" t="str">
        <f t="shared" ref="C90:C92" si="11">$C$55</f>
        <v>End of Life Practices, CAT</v>
      </c>
      <c r="D90">
        <f>$F$44</f>
        <v>2</v>
      </c>
      <c r="E90">
        <v>0</v>
      </c>
      <c r="H90" t="str">
        <f>'Inputs - Categorical'!$C$6</f>
        <v>Paper</v>
      </c>
    </row>
    <row r="91" spans="2:8" ht="16" customHeight="1">
      <c r="B91" t="s">
        <v>42</v>
      </c>
      <c r="C91" t="str">
        <f t="shared" si="11"/>
        <v>End of Life Practices, CAT</v>
      </c>
      <c r="D91">
        <f>$F$45</f>
        <v>3</v>
      </c>
      <c r="E91">
        <v>0.8</v>
      </c>
      <c r="H91" t="str">
        <f>'Inputs - Categorical'!$C$6</f>
        <v>Paper</v>
      </c>
    </row>
    <row r="92" spans="2:8" ht="16" customHeight="1">
      <c r="B92" t="s">
        <v>42</v>
      </c>
      <c r="C92" t="str">
        <f t="shared" si="11"/>
        <v>End of Life Practices, CAT</v>
      </c>
      <c r="D92">
        <f>$F$46</f>
        <v>4</v>
      </c>
      <c r="E92">
        <f>1-SUM(E89:E91)</f>
        <v>0.19999999999999996</v>
      </c>
      <c r="H92" t="str">
        <f>'Inputs - Categorical'!$C$6</f>
        <v>Paper</v>
      </c>
    </row>
    <row r="94" spans="2:8" ht="16" customHeight="1">
      <c r="B94" t="s">
        <v>42</v>
      </c>
      <c r="C94" t="str">
        <f>$C$55</f>
        <v>End of Life Practices, CAT</v>
      </c>
      <c r="D94">
        <f>$F$43</f>
        <v>1</v>
      </c>
      <c r="E94">
        <v>0</v>
      </c>
    </row>
    <row r="95" spans="2:8" ht="16" customHeight="1">
      <c r="B95" t="s">
        <v>42</v>
      </c>
      <c r="C95" t="str">
        <f t="shared" ref="C95:C97" si="12">$C$55</f>
        <v>End of Life Practices, CAT</v>
      </c>
      <c r="D95">
        <f>$F$44</f>
        <v>2</v>
      </c>
      <c r="E95">
        <v>0</v>
      </c>
    </row>
    <row r="96" spans="2:8" ht="16" customHeight="1">
      <c r="B96" t="s">
        <v>42</v>
      </c>
      <c r="C96" t="str">
        <f t="shared" si="12"/>
        <v>End of Life Practices, CAT</v>
      </c>
      <c r="D96">
        <f>$F$45</f>
        <v>3</v>
      </c>
      <c r="E96">
        <v>0</v>
      </c>
    </row>
    <row r="97" spans="2:5" ht="16" customHeight="1">
      <c r="B97" t="s">
        <v>42</v>
      </c>
      <c r="C97" t="str">
        <f t="shared" si="12"/>
        <v>End of Life Practices, CAT</v>
      </c>
      <c r="D97">
        <f>$F$46</f>
        <v>4</v>
      </c>
      <c r="E97">
        <v>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2807-D21A-1A49-9C05-E8FAC8B5CEA8}">
  <dimension ref="B1:K3"/>
  <sheetViews>
    <sheetView workbookViewId="0">
      <selection activeCell="F3" sqref="F3"/>
    </sheetView>
  </sheetViews>
  <sheetFormatPr baseColWidth="10" defaultRowHeight="16"/>
  <cols>
    <col min="2" max="2" width="19.28515625" bestFit="1" customWidth="1"/>
    <col min="3" max="3" width="22.42578125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2:11" s="3" customFormat="1">
      <c r="B1" s="2" t="s">
        <v>43</v>
      </c>
      <c r="C1" s="2" t="s">
        <v>44</v>
      </c>
      <c r="D1" s="3" t="s">
        <v>45</v>
      </c>
      <c r="E1" s="1" t="s">
        <v>46</v>
      </c>
      <c r="F1" s="2" t="s">
        <v>47</v>
      </c>
      <c r="G1" s="2" t="s">
        <v>48</v>
      </c>
      <c r="H1" s="3" t="s">
        <v>95</v>
      </c>
      <c r="I1" s="3" t="s">
        <v>96</v>
      </c>
      <c r="J1" s="3" t="s">
        <v>94</v>
      </c>
      <c r="K1" s="3" t="s">
        <v>34</v>
      </c>
    </row>
    <row r="2" spans="2:11">
      <c r="B2" t="s">
        <v>49</v>
      </c>
      <c r="C2" t="str">
        <f>'Inputs - Flow Network'!$C$3</f>
        <v>Roundwood, CAT</v>
      </c>
      <c r="D2" t="str">
        <f>'Inputs - Categorical'!C15</f>
        <v>Softwood</v>
      </c>
      <c r="F2">
        <v>100</v>
      </c>
      <c r="G2">
        <v>1</v>
      </c>
      <c r="K2">
        <v>1990</v>
      </c>
    </row>
    <row r="3" spans="2:11">
      <c r="B3" t="s">
        <v>49</v>
      </c>
      <c r="C3" t="str">
        <f>'Inputs - Flow Network'!$C$3</f>
        <v>Roundwood, CAT</v>
      </c>
      <c r="D3" t="str">
        <f>'Inputs - Categorical'!C16</f>
        <v>Hardwood</v>
      </c>
      <c r="F3">
        <v>100</v>
      </c>
      <c r="G3">
        <v>1</v>
      </c>
      <c r="K3">
        <v>1990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481-AC22-9A46-B3DF-F781248D750D}">
  <dimension ref="B1:G22"/>
  <sheetViews>
    <sheetView workbookViewId="0">
      <selection activeCell="C15" sqref="C15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3" customFormat="1">
      <c r="B1" s="2" t="s">
        <v>53</v>
      </c>
      <c r="C1" s="2" t="s">
        <v>1</v>
      </c>
      <c r="D1" s="3" t="s">
        <v>54</v>
      </c>
    </row>
    <row r="3" spans="2:7">
      <c r="B3" t="s">
        <v>55</v>
      </c>
      <c r="C3" t="s">
        <v>105</v>
      </c>
    </row>
    <row r="4" spans="2:7">
      <c r="B4" t="s">
        <v>55</v>
      </c>
      <c r="C4" t="s">
        <v>106</v>
      </c>
    </row>
    <row r="5" spans="2:7">
      <c r="B5" t="s">
        <v>55</v>
      </c>
      <c r="C5" t="s">
        <v>107</v>
      </c>
    </row>
    <row r="6" spans="2:7">
      <c r="B6" t="s">
        <v>55</v>
      </c>
      <c r="C6" t="s">
        <v>108</v>
      </c>
    </row>
    <row r="7" spans="2:7">
      <c r="B7" t="s">
        <v>55</v>
      </c>
      <c r="C7" t="s">
        <v>112</v>
      </c>
    </row>
    <row r="9" spans="2:7" s="3" customFormat="1">
      <c r="B9" s="2" t="s">
        <v>56</v>
      </c>
      <c r="C9" s="2" t="s">
        <v>1</v>
      </c>
      <c r="D9" s="3" t="s">
        <v>33</v>
      </c>
      <c r="E9" s="3" t="s">
        <v>34</v>
      </c>
    </row>
    <row r="11" spans="2:7" s="3" customFormat="1">
      <c r="B11" s="2" t="s">
        <v>57</v>
      </c>
      <c r="C11" s="2" t="s">
        <v>58</v>
      </c>
      <c r="D11" s="2" t="s">
        <v>59</v>
      </c>
    </row>
    <row r="13" spans="2:7" s="3" customFormat="1">
      <c r="B13" s="2" t="s">
        <v>60</v>
      </c>
      <c r="C13" s="2" t="s">
        <v>1</v>
      </c>
      <c r="D13" s="3" t="s">
        <v>61</v>
      </c>
      <c r="E13" s="3" t="s">
        <v>62</v>
      </c>
      <c r="F13" s="3" t="s">
        <v>33</v>
      </c>
      <c r="G13" s="3" t="s">
        <v>34</v>
      </c>
    </row>
    <row r="15" spans="2:7">
      <c r="B15" t="s">
        <v>109</v>
      </c>
      <c r="C15" t="s">
        <v>110</v>
      </c>
    </row>
    <row r="16" spans="2:7">
      <c r="B16" t="s">
        <v>109</v>
      </c>
      <c r="C16" t="s">
        <v>111</v>
      </c>
    </row>
    <row r="18" spans="2:5" s="3" customFormat="1">
      <c r="B18" s="2" t="s">
        <v>63</v>
      </c>
      <c r="C18" s="2" t="s">
        <v>1</v>
      </c>
      <c r="D18" s="3" t="s">
        <v>33</v>
      </c>
      <c r="E18" s="3" t="s">
        <v>34</v>
      </c>
    </row>
    <row r="20" spans="2:5" s="3" customFormat="1">
      <c r="B20" s="2" t="s">
        <v>64</v>
      </c>
      <c r="C20" s="2" t="s">
        <v>65</v>
      </c>
      <c r="D20" s="2" t="s">
        <v>66</v>
      </c>
    </row>
    <row r="22" spans="2:5" s="3" customFormat="1">
      <c r="B22" s="2" t="s">
        <v>67</v>
      </c>
      <c r="C22" s="3" t="s">
        <v>1</v>
      </c>
      <c r="D22" s="3" t="s">
        <v>68</v>
      </c>
      <c r="E22" s="3" t="s">
        <v>34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3B2-6978-B84E-A9D8-E2FB98D2112C}">
  <dimension ref="B1:H14"/>
  <sheetViews>
    <sheetView workbookViewId="0">
      <selection activeCell="D3" sqref="D3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3" customFormat="1">
      <c r="B1" s="2" t="s">
        <v>69</v>
      </c>
      <c r="C1" s="2" t="s">
        <v>70</v>
      </c>
      <c r="D1" s="3" t="s">
        <v>1</v>
      </c>
      <c r="E1" s="2" t="s">
        <v>71</v>
      </c>
      <c r="F1" s="3" t="s">
        <v>81</v>
      </c>
      <c r="G1" s="3" t="s">
        <v>82</v>
      </c>
      <c r="H1" s="3" t="s">
        <v>34</v>
      </c>
    </row>
    <row r="2" spans="2:8">
      <c r="B2" t="s">
        <v>72</v>
      </c>
      <c r="C2">
        <v>1725</v>
      </c>
      <c r="D2" t="s">
        <v>117</v>
      </c>
      <c r="E2">
        <v>998</v>
      </c>
    </row>
    <row r="5" spans="2:8" s="3" customFormat="1">
      <c r="B5" s="2" t="s">
        <v>73</v>
      </c>
      <c r="C5" s="2" t="s">
        <v>1</v>
      </c>
    </row>
    <row r="6" spans="2:8">
      <c r="B6" t="s">
        <v>74</v>
      </c>
      <c r="C6" t="s">
        <v>116</v>
      </c>
    </row>
    <row r="8" spans="2:8" s="3" customFormat="1">
      <c r="B8" s="2" t="s">
        <v>75</v>
      </c>
      <c r="C8" s="2" t="s">
        <v>1</v>
      </c>
      <c r="D8" s="2" t="s">
        <v>76</v>
      </c>
      <c r="E8" s="3" t="s">
        <v>34</v>
      </c>
    </row>
    <row r="10" spans="2:8">
      <c r="B10" t="s">
        <v>77</v>
      </c>
      <c r="C10" t="s">
        <v>117</v>
      </c>
      <c r="D10" t="str">
        <f>C6</f>
        <v>Company</v>
      </c>
    </row>
    <row r="13" spans="2:8" s="3" customFormat="1">
      <c r="B13" s="2" t="s">
        <v>78</v>
      </c>
      <c r="C13" s="1" t="s">
        <v>19</v>
      </c>
      <c r="D13" s="2" t="s">
        <v>79</v>
      </c>
      <c r="E13" s="3" t="s">
        <v>83</v>
      </c>
    </row>
    <row r="14" spans="2:8">
      <c r="B14" t="s">
        <v>80</v>
      </c>
      <c r="C14" t="str">
        <f>C10</f>
        <v>CAT</v>
      </c>
      <c r="D14">
        <f>C2</f>
        <v>1725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909-7DF6-1B4A-B922-CF23C08FA7A6}">
  <dimension ref="B1:F321"/>
  <sheetViews>
    <sheetView workbookViewId="0">
      <selection activeCell="D33" sqref="D33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3" customFormat="1">
      <c r="B1" s="2" t="s">
        <v>84</v>
      </c>
      <c r="C1" s="2" t="s">
        <v>1</v>
      </c>
      <c r="D1" s="3" t="s">
        <v>93</v>
      </c>
      <c r="E1" s="3" t="s">
        <v>33</v>
      </c>
      <c r="F1" s="3" t="s">
        <v>34</v>
      </c>
    </row>
    <row r="3" spans="2:6">
      <c r="B3" t="s">
        <v>97</v>
      </c>
      <c r="C3" t="s">
        <v>99</v>
      </c>
      <c r="D3" t="s">
        <v>98</v>
      </c>
      <c r="E3" t="s">
        <v>104</v>
      </c>
    </row>
    <row r="7" spans="2:6" s="3" customFormat="1">
      <c r="B7" s="2" t="s">
        <v>85</v>
      </c>
      <c r="C7" s="2" t="s">
        <v>1</v>
      </c>
      <c r="D7" s="3" t="s">
        <v>33</v>
      </c>
      <c r="E7" s="3" t="s">
        <v>34</v>
      </c>
    </row>
    <row r="9" spans="2:6">
      <c r="B9" t="s">
        <v>103</v>
      </c>
      <c r="C9" t="s">
        <v>101</v>
      </c>
    </row>
    <row r="12" spans="2:6" s="3" customFormat="1">
      <c r="B12" s="2" t="s">
        <v>86</v>
      </c>
      <c r="C12" s="2" t="s">
        <v>87</v>
      </c>
      <c r="D12" s="2" t="s">
        <v>88</v>
      </c>
      <c r="E12" s="2" t="s">
        <v>19</v>
      </c>
      <c r="F12" s="2" t="s">
        <v>89</v>
      </c>
    </row>
    <row r="14" spans="2:6">
      <c r="B14" t="s">
        <v>102</v>
      </c>
      <c r="C14" t="str">
        <f>C9</f>
        <v>US Residential Gamma Retention</v>
      </c>
      <c r="D14" t="str">
        <f>C3</f>
        <v>Gamma (2.07 80.2)</v>
      </c>
      <c r="E14" t="s">
        <v>36</v>
      </c>
      <c r="F14">
        <v>1</v>
      </c>
    </row>
    <row r="19" spans="2:5" s="3" customFormat="1">
      <c r="B19" s="2" t="s">
        <v>90</v>
      </c>
      <c r="C19" s="2" t="s">
        <v>88</v>
      </c>
      <c r="D19" s="2" t="s">
        <v>91</v>
      </c>
      <c r="E19" s="2" t="s">
        <v>92</v>
      </c>
    </row>
    <row r="21" spans="2:5">
      <c r="B21" t="s">
        <v>100</v>
      </c>
      <c r="C21" t="str">
        <f>$C$3</f>
        <v>Gamma (2.07 80.2)</v>
      </c>
      <c r="D21">
        <v>0</v>
      </c>
      <c r="E21">
        <v>1</v>
      </c>
    </row>
    <row r="22" spans="2:5">
      <c r="B22" t="s">
        <v>100</v>
      </c>
      <c r="C22" t="str">
        <f t="shared" ref="C22:C85" si="0">$C$3</f>
        <v>Gamma (2.07 80.2)</v>
      </c>
      <c r="D22">
        <v>1</v>
      </c>
      <c r="E22">
        <v>0.99994688588141767</v>
      </c>
    </row>
    <row r="23" spans="2:5">
      <c r="B23" t="s">
        <v>100</v>
      </c>
      <c r="C23" t="str">
        <f t="shared" si="0"/>
        <v>Gamma (2.07 80.2)</v>
      </c>
      <c r="D23">
        <v>2</v>
      </c>
      <c r="E23">
        <v>0.99977884524080396</v>
      </c>
    </row>
    <row r="24" spans="2:5">
      <c r="B24" t="s">
        <v>100</v>
      </c>
      <c r="C24" t="str">
        <f t="shared" si="0"/>
        <v>Gamma (2.07 80.2)</v>
      </c>
      <c r="D24">
        <v>3</v>
      </c>
      <c r="E24">
        <v>0.99949235154134508</v>
      </c>
    </row>
    <row r="25" spans="2:5">
      <c r="B25" t="s">
        <v>100</v>
      </c>
      <c r="C25" t="str">
        <f t="shared" si="0"/>
        <v>Gamma (2.07 80.2)</v>
      </c>
      <c r="D25">
        <v>4</v>
      </c>
      <c r="E25">
        <v>0.99908683807508436</v>
      </c>
    </row>
    <row r="26" spans="2:5">
      <c r="B26" t="s">
        <v>100</v>
      </c>
      <c r="C26" t="str">
        <f t="shared" si="0"/>
        <v>Gamma (2.07 80.2)</v>
      </c>
      <c r="D26">
        <v>5</v>
      </c>
      <c r="E26">
        <v>0.99856280158840427</v>
      </c>
    </row>
    <row r="27" spans="2:5">
      <c r="B27" t="s">
        <v>100</v>
      </c>
      <c r="C27" t="str">
        <f t="shared" si="0"/>
        <v>Gamma (2.07 80.2)</v>
      </c>
      <c r="D27">
        <v>6</v>
      </c>
      <c r="E27">
        <v>0.99792130491477471</v>
      </c>
    </row>
    <row r="28" spans="2:5">
      <c r="B28" t="s">
        <v>100</v>
      </c>
      <c r="C28" t="str">
        <f t="shared" si="0"/>
        <v>Gamma (2.07 80.2)</v>
      </c>
      <c r="D28">
        <v>7</v>
      </c>
      <c r="E28">
        <v>0.9971637585092844</v>
      </c>
    </row>
    <row r="29" spans="2:5">
      <c r="B29" t="s">
        <v>100</v>
      </c>
      <c r="C29" t="str">
        <f t="shared" si="0"/>
        <v>Gamma (2.07 80.2)</v>
      </c>
      <c r="D29">
        <v>8</v>
      </c>
      <c r="E29">
        <v>0.99629180311059484</v>
      </c>
    </row>
    <row r="30" spans="2:5">
      <c r="B30" t="s">
        <v>100</v>
      </c>
      <c r="C30" t="str">
        <f t="shared" si="0"/>
        <v>Gamma (2.07 80.2)</v>
      </c>
      <c r="D30">
        <v>9</v>
      </c>
      <c r="E30">
        <v>0.99530723886490791</v>
      </c>
    </row>
    <row r="31" spans="2:5">
      <c r="B31" t="s">
        <v>100</v>
      </c>
      <c r="C31" t="str">
        <f t="shared" si="0"/>
        <v>Gamma (2.07 80.2)</v>
      </c>
      <c r="D31">
        <v>10</v>
      </c>
      <c r="E31">
        <v>0.99421197903370451</v>
      </c>
    </row>
    <row r="32" spans="2:5">
      <c r="B32" t="s">
        <v>100</v>
      </c>
      <c r="C32" t="str">
        <f t="shared" si="0"/>
        <v>Gamma (2.07 80.2)</v>
      </c>
      <c r="D32">
        <v>11</v>
      </c>
      <c r="E32">
        <v>0.99300801801909755</v>
      </c>
    </row>
    <row r="33" spans="2:5">
      <c r="B33" t="s">
        <v>100</v>
      </c>
      <c r="C33" t="str">
        <f t="shared" si="0"/>
        <v>Gamma (2.07 80.2)</v>
      </c>
      <c r="D33">
        <v>12</v>
      </c>
      <c r="E33">
        <v>0.99169740833327802</v>
      </c>
    </row>
    <row r="34" spans="2:5">
      <c r="B34" t="s">
        <v>100</v>
      </c>
      <c r="C34" t="str">
        <f t="shared" si="0"/>
        <v>Gamma (2.07 80.2)</v>
      </c>
      <c r="D34">
        <v>13</v>
      </c>
      <c r="E34">
        <v>0.99028224346344396</v>
      </c>
    </row>
    <row r="35" spans="2:5">
      <c r="B35" t="s">
        <v>100</v>
      </c>
      <c r="C35" t="str">
        <f t="shared" si="0"/>
        <v>Gamma (2.07 80.2)</v>
      </c>
      <c r="D35">
        <v>14</v>
      </c>
      <c r="E35">
        <v>0.98876464479156556</v>
      </c>
    </row>
    <row r="36" spans="2:5">
      <c r="B36" t="s">
        <v>100</v>
      </c>
      <c r="C36" t="str">
        <f t="shared" si="0"/>
        <v>Gamma (2.07 80.2)</v>
      </c>
      <c r="D36">
        <v>15</v>
      </c>
      <c r="E36">
        <v>0.987146751401068</v>
      </c>
    </row>
    <row r="37" spans="2:5">
      <c r="B37" t="s">
        <v>100</v>
      </c>
      <c r="C37" t="str">
        <f t="shared" si="0"/>
        <v>Gamma (2.07 80.2)</v>
      </c>
      <c r="D37">
        <v>16</v>
      </c>
      <c r="E37">
        <v>0.98543071199862009</v>
      </c>
    </row>
    <row r="38" spans="2:5">
      <c r="B38" t="s">
        <v>100</v>
      </c>
      <c r="C38" t="str">
        <f t="shared" si="0"/>
        <v>Gamma (2.07 80.2)</v>
      </c>
      <c r="D38">
        <v>17</v>
      </c>
      <c r="E38">
        <v>0.98361867842337058</v>
      </c>
    </row>
    <row r="39" spans="2:5">
      <c r="B39" t="s">
        <v>100</v>
      </c>
      <c r="C39" t="str">
        <f t="shared" si="0"/>
        <v>Gamma (2.07 80.2)</v>
      </c>
      <c r="D39">
        <v>18</v>
      </c>
      <c r="E39">
        <v>0.98171280037235842</v>
      </c>
    </row>
    <row r="40" spans="2:5">
      <c r="B40" t="s">
        <v>100</v>
      </c>
      <c r="C40" t="str">
        <f t="shared" si="0"/>
        <v>Gamma (2.07 80.2)</v>
      </c>
      <c r="D40">
        <v>19</v>
      </c>
      <c r="E40">
        <v>0.97971522107431963</v>
      </c>
    </row>
    <row r="41" spans="2:5">
      <c r="B41" t="s">
        <v>100</v>
      </c>
      <c r="C41" t="str">
        <f t="shared" si="0"/>
        <v>Gamma (2.07 80.2)</v>
      </c>
      <c r="D41">
        <v>20</v>
      </c>
      <c r="E41">
        <v>0.97762807371455729</v>
      </c>
    </row>
    <row r="42" spans="2:5">
      <c r="B42" t="s">
        <v>100</v>
      </c>
      <c r="C42" t="str">
        <f t="shared" si="0"/>
        <v>Gamma (2.07 80.2)</v>
      </c>
      <c r="D42">
        <v>21</v>
      </c>
      <c r="E42">
        <v>0.97545347846268993</v>
      </c>
    </row>
    <row r="43" spans="2:5">
      <c r="B43" t="s">
        <v>100</v>
      </c>
      <c r="C43" t="str">
        <f t="shared" si="0"/>
        <v>Gamma (2.07 80.2)</v>
      </c>
      <c r="D43">
        <v>22</v>
      </c>
      <c r="E43">
        <v>0.97319353999012803</v>
      </c>
    </row>
    <row r="44" spans="2:5">
      <c r="B44" t="s">
        <v>100</v>
      </c>
      <c r="C44" t="str">
        <f t="shared" si="0"/>
        <v>Gamma (2.07 80.2)</v>
      </c>
      <c r="D44">
        <v>23</v>
      </c>
      <c r="E44">
        <v>0.9708503453895877</v>
      </c>
    </row>
    <row r="45" spans="2:5">
      <c r="B45" t="s">
        <v>100</v>
      </c>
      <c r="C45" t="str">
        <f t="shared" si="0"/>
        <v>Gamma (2.07 80.2)</v>
      </c>
      <c r="D45">
        <v>24</v>
      </c>
      <c r="E45">
        <v>0.96842596242776835</v>
      </c>
    </row>
    <row r="46" spans="2:5">
      <c r="B46" t="s">
        <v>100</v>
      </c>
      <c r="C46" t="str">
        <f t="shared" si="0"/>
        <v>Gamma (2.07 80.2)</v>
      </c>
      <c r="D46">
        <v>25</v>
      </c>
      <c r="E46">
        <v>0.96592243807645295</v>
      </c>
    </row>
    <row r="47" spans="2:5">
      <c r="B47" t="s">
        <v>100</v>
      </c>
      <c r="C47" t="str">
        <f t="shared" si="0"/>
        <v>Gamma (2.07 80.2)</v>
      </c>
      <c r="D47">
        <v>26</v>
      </c>
      <c r="E47">
        <v>0.96334179727804037</v>
      </c>
    </row>
    <row r="48" spans="2:5">
      <c r="B48" t="s">
        <v>100</v>
      </c>
      <c r="C48" t="str">
        <f t="shared" si="0"/>
        <v>Gamma (2.07 80.2)</v>
      </c>
      <c r="D48">
        <v>27</v>
      </c>
      <c r="E48">
        <v>0.96068604190981133</v>
      </c>
    </row>
    <row r="49" spans="2:5">
      <c r="B49" t="s">
        <v>100</v>
      </c>
      <c r="C49" t="str">
        <f t="shared" si="0"/>
        <v>Gamma (2.07 80.2)</v>
      </c>
      <c r="D49">
        <v>28</v>
      </c>
      <c r="E49">
        <v>0.95795714991769565</v>
      </c>
    </row>
    <row r="50" spans="2:5">
      <c r="B50" t="s">
        <v>100</v>
      </c>
      <c r="C50" t="str">
        <f t="shared" si="0"/>
        <v>Gamma (2.07 80.2)</v>
      </c>
      <c r="D50">
        <v>29</v>
      </c>
      <c r="E50">
        <v>0.95515707459540389</v>
      </c>
    </row>
    <row r="51" spans="2:5">
      <c r="B51" t="s">
        <v>100</v>
      </c>
      <c r="C51" t="str">
        <f t="shared" si="0"/>
        <v>Gamma (2.07 80.2)</v>
      </c>
      <c r="D51">
        <v>30</v>
      </c>
      <c r="E51">
        <v>0.95228774398883975</v>
      </c>
    </row>
    <row r="52" spans="2:5">
      <c r="B52" t="s">
        <v>100</v>
      </c>
      <c r="C52" t="str">
        <f t="shared" si="0"/>
        <v>Gamma (2.07 80.2)</v>
      </c>
      <c r="D52">
        <v>31</v>
      </c>
      <c r="E52">
        <v>0.94935106040897099</v>
      </c>
    </row>
    <row r="53" spans="2:5">
      <c r="B53" t="s">
        <v>100</v>
      </c>
      <c r="C53" t="str">
        <f t="shared" si="0"/>
        <v>Gamma (2.07 80.2)</v>
      </c>
      <c r="D53">
        <v>32</v>
      </c>
      <c r="E53">
        <v>0.94634890003896754</v>
      </c>
    </row>
    <row r="54" spans="2:5">
      <c r="B54" t="s">
        <v>100</v>
      </c>
      <c r="C54" t="str">
        <f t="shared" si="0"/>
        <v>Gamma (2.07 80.2)</v>
      </c>
      <c r="D54">
        <v>33</v>
      </c>
      <c r="E54">
        <v>0.94328311262357223</v>
      </c>
    </row>
    <row r="55" spans="2:5">
      <c r="B55" t="s">
        <v>100</v>
      </c>
      <c r="C55" t="str">
        <f t="shared" si="0"/>
        <v>Gamma (2.07 80.2)</v>
      </c>
      <c r="D55">
        <v>34</v>
      </c>
      <c r="E55">
        <v>0.94015552123043533</v>
      </c>
    </row>
    <row r="56" spans="2:5">
      <c r="B56" t="s">
        <v>100</v>
      </c>
      <c r="C56" t="str">
        <f t="shared" si="0"/>
        <v>Gamma (2.07 80.2)</v>
      </c>
      <c r="D56">
        <v>35</v>
      </c>
      <c r="E56">
        <v>0.93696792207460755</v>
      </c>
    </row>
    <row r="57" spans="2:5">
      <c r="B57" t="s">
        <v>100</v>
      </c>
      <c r="C57" t="str">
        <f t="shared" si="0"/>
        <v>Gamma (2.07 80.2)</v>
      </c>
      <c r="D57">
        <v>36</v>
      </c>
      <c r="E57">
        <v>0.93372208439860482</v>
      </c>
    </row>
    <row r="58" spans="2:5">
      <c r="B58" t="s">
        <v>100</v>
      </c>
      <c r="C58" t="str">
        <f t="shared" si="0"/>
        <v>Gamma (2.07 80.2)</v>
      </c>
      <c r="D58">
        <v>37</v>
      </c>
      <c r="E58">
        <v>0.93041975040147862</v>
      </c>
    </row>
    <row r="59" spans="2:5">
      <c r="B59" t="s">
        <v>100</v>
      </c>
      <c r="C59" t="str">
        <f t="shared" si="0"/>
        <v>Gamma (2.07 80.2)</v>
      </c>
      <c r="D59">
        <v>38</v>
      </c>
      <c r="E59">
        <v>0.92706263521118382</v>
      </c>
    </row>
    <row r="60" spans="2:5">
      <c r="B60" t="s">
        <v>100</v>
      </c>
      <c r="C60" t="str">
        <f t="shared" si="0"/>
        <v>Gamma (2.07 80.2)</v>
      </c>
      <c r="D60">
        <v>39</v>
      </c>
      <c r="E60">
        <v>0.92365242689526383</v>
      </c>
    </row>
    <row r="61" spans="2:5">
      <c r="B61" t="s">
        <v>100</v>
      </c>
      <c r="C61" t="str">
        <f t="shared" si="0"/>
        <v>Gamma (2.07 80.2)</v>
      </c>
      <c r="D61">
        <v>40</v>
      </c>
      <c r="E61">
        <v>0.9201907865054918</v>
      </c>
    </row>
    <row r="62" spans="2:5">
      <c r="B62" t="s">
        <v>100</v>
      </c>
      <c r="C62" t="str">
        <f t="shared" si="0"/>
        <v>Gamma (2.07 80.2)</v>
      </c>
      <c r="D62">
        <v>41</v>
      </c>
      <c r="E62">
        <v>0.91667934815263463</v>
      </c>
    </row>
    <row r="63" spans="2:5">
      <c r="B63" t="s">
        <v>100</v>
      </c>
      <c r="C63" t="str">
        <f t="shared" si="0"/>
        <v>Gamma (2.07 80.2)</v>
      </c>
      <c r="D63">
        <v>42</v>
      </c>
      <c r="E63">
        <v>0.91311971910796041</v>
      </c>
    </row>
    <row r="64" spans="2:5">
      <c r="B64" t="s">
        <v>100</v>
      </c>
      <c r="C64" t="str">
        <f t="shared" si="0"/>
        <v>Gamma (2.07 80.2)</v>
      </c>
      <c r="D64">
        <v>43</v>
      </c>
      <c r="E64">
        <v>0.90951347992850129</v>
      </c>
    </row>
    <row r="65" spans="2:5">
      <c r="B65" t="s">
        <v>100</v>
      </c>
      <c r="C65" t="str">
        <f t="shared" si="0"/>
        <v>Gamma (2.07 80.2)</v>
      </c>
      <c r="D65">
        <v>44</v>
      </c>
      <c r="E65">
        <v>0.90586218460342216</v>
      </c>
    </row>
    <row r="66" spans="2:5">
      <c r="B66" t="s">
        <v>100</v>
      </c>
      <c r="C66" t="str">
        <f t="shared" si="0"/>
        <v>Gamma (2.07 80.2)</v>
      </c>
      <c r="D66">
        <v>45</v>
      </c>
      <c r="E66">
        <v>0.90216736071913772</v>
      </c>
    </row>
    <row r="67" spans="2:5">
      <c r="B67" t="s">
        <v>100</v>
      </c>
      <c r="C67" t="str">
        <f t="shared" si="0"/>
        <v>Gamma (2.07 80.2)</v>
      </c>
      <c r="D67">
        <v>46</v>
      </c>
      <c r="E67">
        <v>0.8984305096410794</v>
      </c>
    </row>
    <row r="68" spans="2:5">
      <c r="B68" t="s">
        <v>100</v>
      </c>
      <c r="C68" t="str">
        <f t="shared" si="0"/>
        <v>Gamma (2.07 80.2)</v>
      </c>
      <c r="D68">
        <v>47</v>
      </c>
      <c r="E68">
        <v>0.89465310671023512</v>
      </c>
    </row>
    <row r="69" spans="2:5">
      <c r="B69" t="s">
        <v>100</v>
      </c>
      <c r="C69" t="str">
        <f t="shared" si="0"/>
        <v>Gamma (2.07 80.2)</v>
      </c>
      <c r="D69">
        <v>48</v>
      </c>
      <c r="E69">
        <v>0.89083660145278154</v>
      </c>
    </row>
    <row r="70" spans="2:5">
      <c r="B70" t="s">
        <v>100</v>
      </c>
      <c r="C70" t="str">
        <f t="shared" si="0"/>
        <v>Gamma (2.07 80.2)</v>
      </c>
      <c r="D70">
        <v>49</v>
      </c>
      <c r="E70">
        <v>0.88698241780130216</v>
      </c>
    </row>
    <row r="71" spans="2:5">
      <c r="B71" t="s">
        <v>100</v>
      </c>
      <c r="C71" t="str">
        <f t="shared" si="0"/>
        <v>Gamma (2.07 80.2)</v>
      </c>
      <c r="D71">
        <v>50</v>
      </c>
      <c r="E71">
        <v>0.88309195432623677</v>
      </c>
    </row>
    <row r="72" spans="2:5">
      <c r="B72" t="s">
        <v>100</v>
      </c>
      <c r="C72" t="str">
        <f t="shared" si="0"/>
        <v>Gamma (2.07 80.2)</v>
      </c>
      <c r="D72">
        <v>51</v>
      </c>
      <c r="E72">
        <v>0.879166584476341</v>
      </c>
    </row>
    <row r="73" spans="2:5">
      <c r="B73" t="s">
        <v>100</v>
      </c>
      <c r="C73" t="str">
        <f t="shared" si="0"/>
        <v>Gamma (2.07 80.2)</v>
      </c>
      <c r="D73">
        <v>52</v>
      </c>
      <c r="E73">
        <v>0.8752076568270567</v>
      </c>
    </row>
    <row r="74" spans="2:5">
      <c r="B74" t="s">
        <v>100</v>
      </c>
      <c r="C74" t="str">
        <f t="shared" si="0"/>
        <v>Gamma (2.07 80.2)</v>
      </c>
      <c r="D74">
        <v>53</v>
      </c>
      <c r="E74">
        <v>0.87121649533579926</v>
      </c>
    </row>
    <row r="75" spans="2:5">
      <c r="B75" t="s">
        <v>100</v>
      </c>
      <c r="C75" t="str">
        <f t="shared" si="0"/>
        <v>Gamma (2.07 80.2)</v>
      </c>
      <c r="D75">
        <v>54</v>
      </c>
      <c r="E75">
        <v>0.86719439960326206</v>
      </c>
    </row>
    <row r="76" spans="2:5">
      <c r="B76" t="s">
        <v>100</v>
      </c>
      <c r="C76" t="str">
        <f t="shared" si="0"/>
        <v>Gamma (2.07 80.2)</v>
      </c>
      <c r="D76">
        <v>55</v>
      </c>
      <c r="E76">
        <v>0.86314264513992311</v>
      </c>
    </row>
    <row r="77" spans="2:5">
      <c r="B77" t="s">
        <v>100</v>
      </c>
      <c r="C77" t="str">
        <f t="shared" si="0"/>
        <v>Gamma (2.07 80.2)</v>
      </c>
      <c r="D77">
        <v>56</v>
      </c>
      <c r="E77">
        <v>0.85906248363701654</v>
      </c>
    </row>
    <row r="78" spans="2:5">
      <c r="B78" t="s">
        <v>100</v>
      </c>
      <c r="C78" t="str">
        <f t="shared" si="0"/>
        <v>Gamma (2.07 80.2)</v>
      </c>
      <c r="D78">
        <v>57</v>
      </c>
      <c r="E78">
        <v>0.85495514324129784</v>
      </c>
    </row>
    <row r="79" spans="2:5">
      <c r="B79" t="s">
        <v>100</v>
      </c>
      <c r="C79" t="str">
        <f t="shared" si="0"/>
        <v>Gamma (2.07 80.2)</v>
      </c>
      <c r="D79">
        <v>58</v>
      </c>
      <c r="E79">
        <v>0.85082182883299207</v>
      </c>
    </row>
    <row r="80" spans="2:5">
      <c r="B80" t="s">
        <v>100</v>
      </c>
      <c r="C80" t="str">
        <f t="shared" si="0"/>
        <v>Gamma (2.07 80.2)</v>
      </c>
      <c r="D80">
        <v>59</v>
      </c>
      <c r="E80">
        <v>0.8466637223063731</v>
      </c>
    </row>
    <row r="81" spans="2:5">
      <c r="B81" t="s">
        <v>100</v>
      </c>
      <c r="C81" t="str">
        <f t="shared" si="0"/>
        <v>Gamma (2.07 80.2)</v>
      </c>
      <c r="D81">
        <v>60</v>
      </c>
      <c r="E81">
        <v>0.84248198285246667</v>
      </c>
    </row>
    <row r="82" spans="2:5">
      <c r="B82" t="s">
        <v>100</v>
      </c>
      <c r="C82" t="str">
        <f t="shared" si="0"/>
        <v>Gamma (2.07 80.2)</v>
      </c>
      <c r="D82">
        <v>61</v>
      </c>
      <c r="E82">
        <v>0.83827774724341975</v>
      </c>
    </row>
    <row r="83" spans="2:5">
      <c r="B83" t="s">
        <v>100</v>
      </c>
      <c r="C83" t="str">
        <f t="shared" si="0"/>
        <v>Gamma (2.07 80.2)</v>
      </c>
      <c r="D83">
        <v>62</v>
      </c>
      <c r="E83">
        <v>0.83405213011811519</v>
      </c>
    </row>
    <row r="84" spans="2:5">
      <c r="B84" t="s">
        <v>100</v>
      </c>
      <c r="C84" t="str">
        <f t="shared" si="0"/>
        <v>Gamma (2.07 80.2)</v>
      </c>
      <c r="D84">
        <v>63</v>
      </c>
      <c r="E84">
        <v>0.8298062242686518</v>
      </c>
    </row>
    <row r="85" spans="2:5">
      <c r="B85" t="s">
        <v>100</v>
      </c>
      <c r="C85" t="str">
        <f t="shared" si="0"/>
        <v>Gamma (2.07 80.2)</v>
      </c>
      <c r="D85">
        <v>64</v>
      </c>
      <c r="E85">
        <v>0.82554110092733834</v>
      </c>
    </row>
    <row r="86" spans="2:5">
      <c r="B86" t="s">
        <v>100</v>
      </c>
      <c r="C86" t="str">
        <f t="shared" ref="C86:C149" si="1">$C$3</f>
        <v>Gamma (2.07 80.2)</v>
      </c>
      <c r="D86">
        <v>65</v>
      </c>
      <c r="E86">
        <v>0.82125781005388543</v>
      </c>
    </row>
    <row r="87" spans="2:5">
      <c r="B87" t="s">
        <v>100</v>
      </c>
      <c r="C87" t="str">
        <f t="shared" si="1"/>
        <v>Gamma (2.07 80.2)</v>
      </c>
      <c r="D87">
        <v>66</v>
      </c>
      <c r="E87">
        <v>0.81695738062250578</v>
      </c>
    </row>
    <row r="88" spans="2:5">
      <c r="B88" t="s">
        <v>100</v>
      </c>
      <c r="C88" t="str">
        <f t="shared" si="1"/>
        <v>Gamma (2.07 80.2)</v>
      </c>
      <c r="D88">
        <v>67</v>
      </c>
      <c r="E88">
        <v>0.81264082090865264</v>
      </c>
    </row>
    <row r="89" spans="2:5">
      <c r="B89" t="s">
        <v>100</v>
      </c>
      <c r="C89" t="str">
        <f t="shared" si="1"/>
        <v>Gamma (2.07 80.2)</v>
      </c>
      <c r="D89">
        <v>68</v>
      </c>
      <c r="E89">
        <v>0.80830911877516221</v>
      </c>
    </row>
    <row r="90" spans="2:5">
      <c r="B90" t="s">
        <v>100</v>
      </c>
      <c r="C90" t="str">
        <f t="shared" si="1"/>
        <v>Gamma (2.07 80.2)</v>
      </c>
      <c r="D90">
        <v>69</v>
      </c>
      <c r="E90">
        <v>0.80396324195757174</v>
      </c>
    </row>
    <row r="91" spans="2:5">
      <c r="B91" t="s">
        <v>100</v>
      </c>
      <c r="C91" t="str">
        <f t="shared" si="1"/>
        <v>Gamma (2.07 80.2)</v>
      </c>
      <c r="D91">
        <v>70</v>
      </c>
      <c r="E91">
        <v>0.79960413834841626</v>
      </c>
    </row>
    <row r="92" spans="2:5">
      <c r="B92" t="s">
        <v>100</v>
      </c>
      <c r="C92" t="str">
        <f t="shared" si="1"/>
        <v>Gamma (2.07 80.2)</v>
      </c>
      <c r="D92">
        <v>71</v>
      </c>
      <c r="E92">
        <v>0.79523273628031899</v>
      </c>
    </row>
    <row r="93" spans="2:5">
      <c r="B93" t="s">
        <v>100</v>
      </c>
      <c r="C93" t="str">
        <f t="shared" si="1"/>
        <v>Gamma (2.07 80.2)</v>
      </c>
      <c r="D93">
        <v>72</v>
      </c>
      <c r="E93">
        <v>0.79084994480770732</v>
      </c>
    </row>
    <row r="94" spans="2:5">
      <c r="B94" t="s">
        <v>100</v>
      </c>
      <c r="C94" t="str">
        <f t="shared" si="1"/>
        <v>Gamma (2.07 80.2)</v>
      </c>
      <c r="D94">
        <v>73</v>
      </c>
      <c r="E94">
        <v>0.7864566539870026</v>
      </c>
    </row>
    <row r="95" spans="2:5">
      <c r="B95" t="s">
        <v>100</v>
      </c>
      <c r="C95" t="str">
        <f t="shared" si="1"/>
        <v>Gamma (2.07 80.2)</v>
      </c>
      <c r="D95">
        <v>74</v>
      </c>
      <c r="E95">
        <v>0.78205373515514354</v>
      </c>
    </row>
    <row r="96" spans="2:5">
      <c r="B96" t="s">
        <v>100</v>
      </c>
      <c r="C96" t="str">
        <f t="shared" si="1"/>
        <v>Gamma (2.07 80.2)</v>
      </c>
      <c r="D96">
        <v>75</v>
      </c>
      <c r="E96">
        <v>0.77764204120631897</v>
      </c>
    </row>
    <row r="97" spans="2:5">
      <c r="B97" t="s">
        <v>100</v>
      </c>
      <c r="C97" t="str">
        <f t="shared" si="1"/>
        <v>Gamma (2.07 80.2)</v>
      </c>
      <c r="D97">
        <v>76</v>
      </c>
      <c r="E97">
        <v>0.773222406866793</v>
      </c>
    </row>
    <row r="98" spans="2:5">
      <c r="B98" t="s">
        <v>100</v>
      </c>
      <c r="C98" t="str">
        <f t="shared" si="1"/>
        <v>Gamma (2.07 80.2)</v>
      </c>
      <c r="D98">
        <v>77</v>
      </c>
      <c r="E98">
        <v>0.76879564896772057</v>
      </c>
    </row>
    <row r="99" spans="2:5">
      <c r="B99" t="s">
        <v>100</v>
      </c>
      <c r="C99" t="str">
        <f t="shared" si="1"/>
        <v>Gamma (2.07 80.2)</v>
      </c>
      <c r="D99">
        <v>78</v>
      </c>
      <c r="E99">
        <v>0.76436256671585778</v>
      </c>
    </row>
    <row r="100" spans="2:5">
      <c r="B100" t="s">
        <v>100</v>
      </c>
      <c r="C100" t="str">
        <f t="shared" si="1"/>
        <v>Gamma (2.07 80.2)</v>
      </c>
      <c r="D100">
        <v>79</v>
      </c>
      <c r="E100">
        <v>0.75992394196208279</v>
      </c>
    </row>
    <row r="101" spans="2:5">
      <c r="B101" t="s">
        <v>100</v>
      </c>
      <c r="C101" t="str">
        <f t="shared" si="1"/>
        <v>Gamma (2.07 80.2)</v>
      </c>
      <c r="D101">
        <v>80</v>
      </c>
      <c r="E101">
        <v>0.75548053946765026</v>
      </c>
    </row>
    <row r="102" spans="2:5">
      <c r="B102" t="s">
        <v>100</v>
      </c>
      <c r="C102" t="str">
        <f t="shared" si="1"/>
        <v>Gamma (2.07 80.2)</v>
      </c>
      <c r="D102">
        <v>81</v>
      </c>
      <c r="E102">
        <v>0.75103310716811178</v>
      </c>
    </row>
    <row r="103" spans="2:5">
      <c r="B103" t="s">
        <v>100</v>
      </c>
      <c r="C103" t="str">
        <f t="shared" si="1"/>
        <v>Gamma (2.07 80.2)</v>
      </c>
      <c r="D103">
        <v>82</v>
      </c>
      <c r="E103">
        <v>0.74658237643483805</v>
      </c>
    </row>
    <row r="104" spans="2:5">
      <c r="B104" t="s">
        <v>100</v>
      </c>
      <c r="C104" t="str">
        <f t="shared" si="1"/>
        <v>Gamma (2.07 80.2)</v>
      </c>
      <c r="D104">
        <v>83</v>
      </c>
      <c r="E104">
        <v>0.74212906233408993</v>
      </c>
    </row>
    <row r="105" spans="2:5">
      <c r="B105" t="s">
        <v>100</v>
      </c>
      <c r="C105" t="str">
        <f t="shared" si="1"/>
        <v>Gamma (2.07 80.2)</v>
      </c>
      <c r="D105">
        <v>84</v>
      </c>
      <c r="E105">
        <v>0.7376738638835898</v>
      </c>
    </row>
    <row r="106" spans="2:5">
      <c r="B106" t="s">
        <v>100</v>
      </c>
      <c r="C106" t="str">
        <f t="shared" si="1"/>
        <v>Gamma (2.07 80.2)</v>
      </c>
      <c r="D106">
        <v>85</v>
      </c>
      <c r="E106">
        <v>0.73321746430654755</v>
      </c>
    </row>
    <row r="107" spans="2:5">
      <c r="B107" t="s">
        <v>100</v>
      </c>
      <c r="C107" t="str">
        <f t="shared" si="1"/>
        <v>Gamma (2.07 80.2)</v>
      </c>
      <c r="D107">
        <v>86</v>
      </c>
      <c r="E107">
        <v>0.72876053128310536</v>
      </c>
    </row>
    <row r="108" spans="2:5">
      <c r="B108" t="s">
        <v>100</v>
      </c>
      <c r="C108" t="str">
        <f t="shared" si="1"/>
        <v>Gamma (2.07 80.2)</v>
      </c>
      <c r="D108">
        <v>87</v>
      </c>
      <c r="E108">
        <v>0.72430371719916864</v>
      </c>
    </row>
    <row r="109" spans="2:5">
      <c r="B109" t="s">
        <v>100</v>
      </c>
      <c r="C109" t="str">
        <f t="shared" si="1"/>
        <v>Gamma (2.07 80.2)</v>
      </c>
      <c r="D109">
        <v>88</v>
      </c>
      <c r="E109">
        <v>0.71984765939259221</v>
      </c>
    </row>
    <row r="110" spans="2:5">
      <c r="B110" t="s">
        <v>100</v>
      </c>
      <c r="C110" t="str">
        <f t="shared" si="1"/>
        <v>Gamma (2.07 80.2)</v>
      </c>
      <c r="D110">
        <v>89</v>
      </c>
      <c r="E110">
        <v>0.71539298039669896</v>
      </c>
    </row>
    <row r="111" spans="2:5">
      <c r="B111" t="s">
        <v>100</v>
      </c>
      <c r="C111" t="str">
        <f t="shared" si="1"/>
        <v>Gamma (2.07 80.2)</v>
      </c>
      <c r="D111">
        <v>90</v>
      </c>
      <c r="E111">
        <v>0.71094028818111166</v>
      </c>
    </row>
    <row r="112" spans="2:5">
      <c r="B112" t="s">
        <v>100</v>
      </c>
      <c r="C112" t="str">
        <f t="shared" si="1"/>
        <v>Gamma (2.07 80.2)</v>
      </c>
      <c r="D112">
        <v>91</v>
      </c>
      <c r="E112">
        <v>0.70649017638987854</v>
      </c>
    </row>
    <row r="113" spans="2:5">
      <c r="B113" t="s">
        <v>100</v>
      </c>
      <c r="C113" t="str">
        <f t="shared" si="1"/>
        <v>Gamma (2.07 80.2)</v>
      </c>
      <c r="D113">
        <v>92</v>
      </c>
      <c r="E113">
        <v>0.70204322457688018</v>
      </c>
    </row>
    <row r="114" spans="2:5">
      <c r="B114" t="s">
        <v>100</v>
      </c>
      <c r="C114" t="str">
        <f t="shared" si="1"/>
        <v>Gamma (2.07 80.2)</v>
      </c>
      <c r="D114">
        <v>93</v>
      </c>
      <c r="E114">
        <v>0.69759999843850817</v>
      </c>
    </row>
    <row r="115" spans="2:5">
      <c r="B115" t="s">
        <v>100</v>
      </c>
      <c r="C115" t="str">
        <f t="shared" si="1"/>
        <v>Gamma (2.07 80.2)</v>
      </c>
      <c r="D115">
        <v>94</v>
      </c>
      <c r="E115">
        <v>0.69316105004360784</v>
      </c>
    </row>
    <row r="116" spans="2:5">
      <c r="B116" t="s">
        <v>100</v>
      </c>
      <c r="C116" t="str">
        <f t="shared" si="1"/>
        <v>Gamma (2.07 80.2)</v>
      </c>
      <c r="D116">
        <v>95</v>
      </c>
      <c r="E116">
        <v>0.6887269180606771</v>
      </c>
    </row>
    <row r="117" spans="2:5">
      <c r="B117" t="s">
        <v>100</v>
      </c>
      <c r="C117" t="str">
        <f t="shared" si="1"/>
        <v>Gamma (2.07 80.2)</v>
      </c>
      <c r="D117">
        <v>96</v>
      </c>
      <c r="E117">
        <v>0.68429812798232481</v>
      </c>
    </row>
    <row r="118" spans="2:5">
      <c r="B118" t="s">
        <v>100</v>
      </c>
      <c r="C118" t="str">
        <f t="shared" si="1"/>
        <v>Gamma (2.07 80.2)</v>
      </c>
      <c r="D118">
        <v>97</v>
      </c>
      <c r="E118">
        <v>0.67987519234698213</v>
      </c>
    </row>
    <row r="119" spans="2:5">
      <c r="B119" t="s">
        <v>100</v>
      </c>
      <c r="C119" t="str">
        <f t="shared" si="1"/>
        <v>Gamma (2.07 80.2)</v>
      </c>
      <c r="D119">
        <v>98</v>
      </c>
      <c r="E119">
        <v>0.67545861095787485</v>
      </c>
    </row>
    <row r="120" spans="2:5">
      <c r="B120" t="s">
        <v>100</v>
      </c>
      <c r="C120" t="str">
        <f t="shared" si="1"/>
        <v>Gamma (2.07 80.2)</v>
      </c>
      <c r="D120">
        <v>99</v>
      </c>
      <c r="E120">
        <v>0.67104887109925493</v>
      </c>
    </row>
    <row r="121" spans="2:5">
      <c r="B121" t="s">
        <v>100</v>
      </c>
      <c r="C121" t="str">
        <f t="shared" si="1"/>
        <v>Gamma (2.07 80.2)</v>
      </c>
      <c r="D121">
        <v>100</v>
      </c>
      <c r="E121">
        <v>0.66664644774990167</v>
      </c>
    </row>
    <row r="122" spans="2:5">
      <c r="B122" t="s">
        <v>100</v>
      </c>
      <c r="C122" t="str">
        <f t="shared" si="1"/>
        <v>Gamma (2.07 80.2)</v>
      </c>
      <c r="D122">
        <v>101</v>
      </c>
      <c r="E122">
        <v>0.66225180379389847</v>
      </c>
    </row>
    <row r="123" spans="2:5">
      <c r="B123" t="s">
        <v>100</v>
      </c>
      <c r="C123" t="str">
        <f t="shared" si="1"/>
        <v>Gamma (2.07 80.2)</v>
      </c>
      <c r="D123">
        <v>102</v>
      </c>
      <c r="E123">
        <v>0.65786539022869139</v>
      </c>
    </row>
    <row r="124" spans="2:5">
      <c r="B124" t="s">
        <v>100</v>
      </c>
      <c r="C124" t="str">
        <f t="shared" si="1"/>
        <v>Gamma (2.07 80.2)</v>
      </c>
      <c r="D124">
        <v>103</v>
      </c>
      <c r="E124">
        <v>0.65348764637044665</v>
      </c>
    </row>
    <row r="125" spans="2:5">
      <c r="B125" t="s">
        <v>100</v>
      </c>
      <c r="C125" t="str">
        <f t="shared" si="1"/>
        <v>Gamma (2.07 80.2)</v>
      </c>
      <c r="D125">
        <v>104</v>
      </c>
      <c r="E125">
        <v>0.64911900005671097</v>
      </c>
    </row>
    <row r="126" spans="2:5">
      <c r="B126" t="s">
        <v>100</v>
      </c>
      <c r="C126" t="str">
        <f t="shared" si="1"/>
        <v>Gamma (2.07 80.2)</v>
      </c>
      <c r="D126">
        <v>105</v>
      </c>
      <c r="E126">
        <v>0.6447598678463925</v>
      </c>
    </row>
    <row r="127" spans="2:5">
      <c r="B127" t="s">
        <v>100</v>
      </c>
      <c r="C127" t="str">
        <f t="shared" si="1"/>
        <v>Gamma (2.07 80.2)</v>
      </c>
      <c r="D127">
        <v>106</v>
      </c>
      <c r="E127">
        <v>0.64041065521707807</v>
      </c>
    </row>
    <row r="128" spans="2:5">
      <c r="B128" t="s">
        <v>100</v>
      </c>
      <c r="C128" t="str">
        <f t="shared" si="1"/>
        <v>Gamma (2.07 80.2)</v>
      </c>
      <c r="D128">
        <v>107</v>
      </c>
      <c r="E128">
        <v>0.63607175675969585</v>
      </c>
    </row>
    <row r="129" spans="2:5">
      <c r="B129" t="s">
        <v>100</v>
      </c>
      <c r="C129" t="str">
        <f t="shared" si="1"/>
        <v>Gamma (2.07 80.2)</v>
      </c>
      <c r="D129">
        <v>108</v>
      </c>
      <c r="E129">
        <v>0.63174355637054624</v>
      </c>
    </row>
    <row r="130" spans="2:5">
      <c r="B130" t="s">
        <v>100</v>
      </c>
      <c r="C130" t="str">
        <f t="shared" si="1"/>
        <v>Gamma (2.07 80.2)</v>
      </c>
      <c r="D130">
        <v>109</v>
      </c>
      <c r="E130">
        <v>0.62742642744071409</v>
      </c>
    </row>
    <row r="131" spans="2:5">
      <c r="B131" t="s">
        <v>100</v>
      </c>
      <c r="C131" t="str">
        <f t="shared" si="1"/>
        <v>Gamma (2.07 80.2)</v>
      </c>
      <c r="D131">
        <v>110</v>
      </c>
      <c r="E131">
        <v>0.62312073304288018</v>
      </c>
    </row>
    <row r="132" spans="2:5">
      <c r="B132" t="s">
        <v>100</v>
      </c>
      <c r="C132" t="str">
        <f t="shared" si="1"/>
        <v>Gamma (2.07 80.2)</v>
      </c>
      <c r="D132">
        <v>111</v>
      </c>
      <c r="E132">
        <v>0.61882682611555373</v>
      </c>
    </row>
    <row r="133" spans="2:5">
      <c r="B133" t="s">
        <v>100</v>
      </c>
      <c r="C133" t="str">
        <f t="shared" si="1"/>
        <v>Gamma (2.07 80.2)</v>
      </c>
      <c r="D133">
        <v>112</v>
      </c>
      <c r="E133">
        <v>0.61454504964474177</v>
      </c>
    </row>
    <row r="134" spans="2:5">
      <c r="B134" t="s">
        <v>100</v>
      </c>
      <c r="C134" t="str">
        <f t="shared" si="1"/>
        <v>Gamma (2.07 80.2)</v>
      </c>
      <c r="D134">
        <v>113</v>
      </c>
      <c r="E134">
        <v>0.61027573684307723</v>
      </c>
    </row>
    <row r="135" spans="2:5">
      <c r="B135" t="s">
        <v>100</v>
      </c>
      <c r="C135" t="str">
        <f t="shared" si="1"/>
        <v>Gamma (2.07 80.2)</v>
      </c>
      <c r="D135">
        <v>114</v>
      </c>
      <c r="E135">
        <v>0.60601921132642589</v>
      </c>
    </row>
    <row r="136" spans="2:5">
      <c r="B136" t="s">
        <v>100</v>
      </c>
      <c r="C136" t="str">
        <f t="shared" si="1"/>
        <v>Gamma (2.07 80.2)</v>
      </c>
      <c r="D136">
        <v>115</v>
      </c>
      <c r="E136">
        <v>0.60177578728799275</v>
      </c>
    </row>
    <row r="137" spans="2:5">
      <c r="B137" t="s">
        <v>100</v>
      </c>
      <c r="C137" t="str">
        <f t="shared" si="1"/>
        <v>Gamma (2.07 80.2)</v>
      </c>
      <c r="D137">
        <v>116</v>
      </c>
      <c r="E137">
        <v>0.59754576966995021</v>
      </c>
    </row>
    <row r="138" spans="2:5">
      <c r="B138" t="s">
        <v>100</v>
      </c>
      <c r="C138" t="str">
        <f t="shared" si="1"/>
        <v>Gamma (2.07 80.2)</v>
      </c>
      <c r="D138">
        <v>117</v>
      </c>
      <c r="E138">
        <v>0.59332945433260975</v>
      </c>
    </row>
    <row r="139" spans="2:5">
      <c r="B139" t="s">
        <v>100</v>
      </c>
      <c r="C139" t="str">
        <f t="shared" si="1"/>
        <v>Gamma (2.07 80.2)</v>
      </c>
      <c r="D139">
        <v>118</v>
      </c>
      <c r="E139">
        <v>0.5891271282211582</v>
      </c>
    </row>
    <row r="140" spans="2:5">
      <c r="B140" t="s">
        <v>100</v>
      </c>
      <c r="C140" t="str">
        <f t="shared" si="1"/>
        <v>Gamma (2.07 80.2)</v>
      </c>
      <c r="D140">
        <v>119</v>
      </c>
      <c r="E140">
        <v>0.58493906952998365</v>
      </c>
    </row>
    <row r="141" spans="2:5">
      <c r="B141" t="s">
        <v>100</v>
      </c>
      <c r="C141" t="str">
        <f t="shared" si="1"/>
        <v>Gamma (2.07 80.2)</v>
      </c>
      <c r="D141">
        <v>120</v>
      </c>
      <c r="E141">
        <v>0.5807655478646111</v>
      </c>
    </row>
    <row r="142" spans="2:5">
      <c r="B142" t="s">
        <v>100</v>
      </c>
      <c r="C142" t="str">
        <f t="shared" si="1"/>
        <v>Gamma (2.07 80.2)</v>
      </c>
      <c r="D142">
        <v>121</v>
      </c>
      <c r="E142">
        <v>0.57660682440127409</v>
      </c>
    </row>
    <row r="143" spans="2:5">
      <c r="B143" t="s">
        <v>100</v>
      </c>
      <c r="C143" t="str">
        <f t="shared" si="1"/>
        <v>Gamma (2.07 80.2)</v>
      </c>
      <c r="D143">
        <v>122</v>
      </c>
      <c r="E143">
        <v>0.572463152044143</v>
      </c>
    </row>
    <row r="144" spans="2:5">
      <c r="B144" t="s">
        <v>100</v>
      </c>
      <c r="C144" t="str">
        <f t="shared" si="1"/>
        <v>Gamma (2.07 80.2)</v>
      </c>
      <c r="D144">
        <v>123</v>
      </c>
      <c r="E144">
        <v>0.56833477558023582</v>
      </c>
    </row>
    <row r="145" spans="2:5">
      <c r="B145" t="s">
        <v>100</v>
      </c>
      <c r="C145" t="str">
        <f t="shared" si="1"/>
        <v>Gamma (2.07 80.2)</v>
      </c>
      <c r="D145">
        <v>124</v>
      </c>
      <c r="E145">
        <v>0.5642219318320334</v>
      </c>
    </row>
    <row r="146" spans="2:5">
      <c r="B146" t="s">
        <v>100</v>
      </c>
      <c r="C146" t="str">
        <f t="shared" si="1"/>
        <v>Gamma (2.07 80.2)</v>
      </c>
      <c r="D146">
        <v>125</v>
      </c>
      <c r="E146">
        <v>0.56012484980782484</v>
      </c>
    </row>
    <row r="147" spans="2:5">
      <c r="B147" t="s">
        <v>100</v>
      </c>
      <c r="C147" t="str">
        <f t="shared" si="1"/>
        <v>Gamma (2.07 80.2)</v>
      </c>
      <c r="D147">
        <v>126</v>
      </c>
      <c r="E147">
        <v>0.55604375084980617</v>
      </c>
    </row>
    <row r="148" spans="2:5">
      <c r="B148" t="s">
        <v>100</v>
      </c>
      <c r="C148" t="str">
        <f t="shared" si="1"/>
        <v>Gamma (2.07 80.2)</v>
      </c>
      <c r="D148">
        <v>127</v>
      </c>
      <c r="E148">
        <v>0.55197884877995673</v>
      </c>
    </row>
    <row r="149" spans="2:5">
      <c r="B149" t="s">
        <v>100</v>
      </c>
      <c r="C149" t="str">
        <f t="shared" si="1"/>
        <v>Gamma (2.07 80.2)</v>
      </c>
      <c r="D149">
        <v>128</v>
      </c>
      <c r="E149">
        <v>0.5479303500437176</v>
      </c>
    </row>
    <row r="150" spans="2:5">
      <c r="B150" t="s">
        <v>100</v>
      </c>
      <c r="C150" t="str">
        <f t="shared" ref="C150:C213" si="2">$C$3</f>
        <v>Gamma (2.07 80.2)</v>
      </c>
      <c r="D150">
        <v>129</v>
      </c>
      <c r="E150">
        <v>0.54389845385149549</v>
      </c>
    </row>
    <row r="151" spans="2:5">
      <c r="B151" t="s">
        <v>100</v>
      </c>
      <c r="C151" t="str">
        <f t="shared" si="2"/>
        <v>Gamma (2.07 80.2)</v>
      </c>
      <c r="D151">
        <v>130</v>
      </c>
      <c r="E151">
        <v>0.53988335231801843</v>
      </c>
    </row>
    <row r="152" spans="2:5">
      <c r="B152" t="s">
        <v>100</v>
      </c>
      <c r="C152" t="str">
        <f t="shared" si="2"/>
        <v>Gamma (2.07 80.2)</v>
      </c>
      <c r="D152">
        <v>131</v>
      </c>
      <c r="E152">
        <v>0.53588523059956605</v>
      </c>
    </row>
    <row r="153" spans="2:5">
      <c r="B153" t="s">
        <v>100</v>
      </c>
      <c r="C153" t="str">
        <f t="shared" si="2"/>
        <v>Gamma (2.07 80.2)</v>
      </c>
      <c r="D153">
        <v>132</v>
      </c>
      <c r="E153">
        <v>0.53190426702909965</v>
      </c>
    </row>
    <row r="154" spans="2:5">
      <c r="B154" t="s">
        <v>100</v>
      </c>
      <c r="C154" t="str">
        <f t="shared" si="2"/>
        <v>Gamma (2.07 80.2)</v>
      </c>
      <c r="D154">
        <v>133</v>
      </c>
      <c r="E154">
        <v>0.52794063324931462</v>
      </c>
    </row>
    <row r="155" spans="2:5">
      <c r="B155" t="s">
        <v>100</v>
      </c>
      <c r="C155" t="str">
        <f t="shared" si="2"/>
        <v>Gamma (2.07 80.2)</v>
      </c>
      <c r="D155">
        <v>134</v>
      </c>
      <c r="E155">
        <v>0.52399449434364209</v>
      </c>
    </row>
    <row r="156" spans="2:5">
      <c r="B156" t="s">
        <v>100</v>
      </c>
      <c r="C156" t="str">
        <f t="shared" si="2"/>
        <v>Gamma (2.07 80.2)</v>
      </c>
      <c r="D156">
        <v>135</v>
      </c>
      <c r="E156">
        <v>0.52006600896522437</v>
      </c>
    </row>
    <row r="157" spans="2:5">
      <c r="B157" t="s">
        <v>100</v>
      </c>
      <c r="C157" t="str">
        <f t="shared" si="2"/>
        <v>Gamma (2.07 80.2)</v>
      </c>
      <c r="D157">
        <v>136</v>
      </c>
      <c r="E157">
        <v>0.51615532946388387</v>
      </c>
    </row>
    <row r="158" spans="2:5">
      <c r="B158" t="s">
        <v>100</v>
      </c>
      <c r="C158" t="str">
        <f t="shared" si="2"/>
        <v>Gamma (2.07 80.2)</v>
      </c>
      <c r="D158">
        <v>137</v>
      </c>
      <c r="E158">
        <v>0.51226260201111429</v>
      </c>
    </row>
    <row r="159" spans="2:5">
      <c r="B159" t="s">
        <v>100</v>
      </c>
      <c r="C159" t="str">
        <f t="shared" si="2"/>
        <v>Gamma (2.07 80.2)</v>
      </c>
      <c r="D159">
        <v>138</v>
      </c>
      <c r="E159">
        <v>0.50838796672311815</v>
      </c>
    </row>
    <row r="160" spans="2:5">
      <c r="B160" t="s">
        <v>100</v>
      </c>
      <c r="C160" t="str">
        <f t="shared" si="2"/>
        <v>Gamma (2.07 80.2)</v>
      </c>
      <c r="D160">
        <v>139</v>
      </c>
      <c r="E160">
        <v>0.50453155778191039</v>
      </c>
    </row>
    <row r="161" spans="2:5">
      <c r="B161" t="s">
        <v>100</v>
      </c>
      <c r="C161" t="str">
        <f t="shared" si="2"/>
        <v>Gamma (2.07 80.2)</v>
      </c>
      <c r="D161">
        <v>140</v>
      </c>
      <c r="E161">
        <v>0.50069350355451669</v>
      </c>
    </row>
    <row r="162" spans="2:5">
      <c r="B162" t="s">
        <v>100</v>
      </c>
      <c r="C162" t="str">
        <f t="shared" si="2"/>
        <v>Gamma (2.07 80.2)</v>
      </c>
      <c r="D162">
        <v>141</v>
      </c>
      <c r="E162">
        <v>0.49687392671028696</v>
      </c>
    </row>
    <row r="163" spans="2:5">
      <c r="B163" t="s">
        <v>100</v>
      </c>
      <c r="C163" t="str">
        <f t="shared" si="2"/>
        <v>Gamma (2.07 80.2)</v>
      </c>
      <c r="D163">
        <v>142</v>
      </c>
      <c r="E163">
        <v>0.49307294433635063</v>
      </c>
    </row>
    <row r="164" spans="2:5">
      <c r="B164" t="s">
        <v>100</v>
      </c>
      <c r="C164" t="str">
        <f t="shared" si="2"/>
        <v>Gamma (2.07 80.2)</v>
      </c>
      <c r="D164">
        <v>143</v>
      </c>
      <c r="E164">
        <v>0.48929066805123267</v>
      </c>
    </row>
    <row r="165" spans="2:5">
      <c r="B165" t="s">
        <v>100</v>
      </c>
      <c r="C165" t="str">
        <f t="shared" si="2"/>
        <v>Gamma (2.07 80.2)</v>
      </c>
      <c r="D165">
        <v>144</v>
      </c>
      <c r="E165">
        <v>0.48552720411665928</v>
      </c>
    </row>
    <row r="166" spans="2:5">
      <c r="B166" t="s">
        <v>100</v>
      </c>
      <c r="C166" t="str">
        <f t="shared" si="2"/>
        <v>Gamma (2.07 80.2)</v>
      </c>
      <c r="D166">
        <v>145</v>
      </c>
      <c r="E166">
        <v>0.48178265354757288</v>
      </c>
    </row>
    <row r="167" spans="2:5">
      <c r="B167" t="s">
        <v>100</v>
      </c>
      <c r="C167" t="str">
        <f t="shared" si="2"/>
        <v>Gamma (2.07 80.2)</v>
      </c>
      <c r="D167">
        <v>146</v>
      </c>
      <c r="E167">
        <v>0.47805711222037994</v>
      </c>
    </row>
    <row r="168" spans="2:5">
      <c r="B168" t="s">
        <v>100</v>
      </c>
      <c r="C168" t="str">
        <f t="shared" si="2"/>
        <v>Gamma (2.07 80.2)</v>
      </c>
      <c r="D168">
        <v>147</v>
      </c>
      <c r="E168">
        <v>0.47435067097945571</v>
      </c>
    </row>
    <row r="169" spans="2:5">
      <c r="B169" t="s">
        <v>100</v>
      </c>
      <c r="C169" t="str">
        <f t="shared" si="2"/>
        <v>Gamma (2.07 80.2)</v>
      </c>
      <c r="D169">
        <v>148</v>
      </c>
      <c r="E169">
        <v>0.47066341574192749</v>
      </c>
    </row>
    <row r="170" spans="2:5">
      <c r="B170" t="s">
        <v>100</v>
      </c>
      <c r="C170" t="str">
        <f t="shared" si="2"/>
        <v>Gamma (2.07 80.2)</v>
      </c>
      <c r="D170">
        <v>149</v>
      </c>
      <c r="E170">
        <v>0.46699542760075885</v>
      </c>
    </row>
    <row r="171" spans="2:5">
      <c r="B171" t="s">
        <v>100</v>
      </c>
      <c r="C171" t="str">
        <f t="shared" si="2"/>
        <v>Gamma (2.07 80.2)</v>
      </c>
      <c r="D171">
        <v>150</v>
      </c>
      <c r="E171">
        <v>0.46334678292615983</v>
      </c>
    </row>
    <row r="172" spans="2:5">
      <c r="B172" t="s">
        <v>100</v>
      </c>
      <c r="C172" t="str">
        <f t="shared" si="2"/>
        <v>Gamma (2.07 80.2)</v>
      </c>
      <c r="D172">
        <v>151</v>
      </c>
      <c r="E172">
        <v>0.45971755346534027</v>
      </c>
    </row>
    <row r="173" spans="2:5">
      <c r="B173" t="s">
        <v>100</v>
      </c>
      <c r="C173" t="str">
        <f t="shared" si="2"/>
        <v>Gamma (2.07 80.2)</v>
      </c>
      <c r="D173">
        <v>152</v>
      </c>
      <c r="E173">
        <v>0.45610780644063564</v>
      </c>
    </row>
    <row r="174" spans="2:5">
      <c r="B174" t="s">
        <v>100</v>
      </c>
      <c r="C174" t="str">
        <f t="shared" si="2"/>
        <v>Gamma (2.07 80.2)</v>
      </c>
      <c r="D174">
        <v>153</v>
      </c>
      <c r="E174">
        <v>0.45251760464601964</v>
      </c>
    </row>
    <row r="175" spans="2:5">
      <c r="B175" t="s">
        <v>100</v>
      </c>
      <c r="C175" t="str">
        <f t="shared" si="2"/>
        <v>Gamma (2.07 80.2)</v>
      </c>
      <c r="D175">
        <v>154</v>
      </c>
      <c r="E175">
        <v>0.44894700654202879</v>
      </c>
    </row>
    <row r="176" spans="2:5">
      <c r="B176" t="s">
        <v>100</v>
      </c>
      <c r="C176" t="str">
        <f t="shared" si="2"/>
        <v>Gamma (2.07 80.2)</v>
      </c>
      <c r="D176">
        <v>155</v>
      </c>
      <c r="E176">
        <v>0.44539606634912321</v>
      </c>
    </row>
    <row r="177" spans="2:5">
      <c r="B177" t="s">
        <v>100</v>
      </c>
      <c r="C177" t="str">
        <f t="shared" si="2"/>
        <v>Gamma (2.07 80.2)</v>
      </c>
      <c r="D177">
        <v>156</v>
      </c>
      <c r="E177">
        <v>0.44186483413950106</v>
      </c>
    </row>
    <row r="178" spans="2:5">
      <c r="B178" t="s">
        <v>100</v>
      </c>
      <c r="C178" t="str">
        <f t="shared" si="2"/>
        <v>Gamma (2.07 80.2)</v>
      </c>
      <c r="D178">
        <v>157</v>
      </c>
      <c r="E178">
        <v>0.43835335592738456</v>
      </c>
    </row>
    <row r="179" spans="2:5">
      <c r="B179" t="s">
        <v>100</v>
      </c>
      <c r="C179" t="str">
        <f t="shared" si="2"/>
        <v>Gamma (2.07 80.2)</v>
      </c>
      <c r="D179">
        <v>158</v>
      </c>
      <c r="E179">
        <v>0.43486167375781093</v>
      </c>
    </row>
    <row r="180" spans="2:5">
      <c r="B180" t="s">
        <v>100</v>
      </c>
      <c r="C180" t="str">
        <f t="shared" si="2"/>
        <v>Gamma (2.07 80.2)</v>
      </c>
      <c r="D180">
        <v>159</v>
      </c>
      <c r="E180">
        <v>0.43138982579393592</v>
      </c>
    </row>
    <row r="181" spans="2:5">
      <c r="B181" t="s">
        <v>100</v>
      </c>
      <c r="C181" t="str">
        <f t="shared" si="2"/>
        <v>Gamma (2.07 80.2)</v>
      </c>
      <c r="D181">
        <v>160</v>
      </c>
      <c r="E181">
        <v>0.42793784640287236</v>
      </c>
    </row>
    <row r="182" spans="2:5">
      <c r="B182" t="s">
        <v>100</v>
      </c>
      <c r="C182" t="str">
        <f t="shared" si="2"/>
        <v>Gamma (2.07 80.2)</v>
      </c>
      <c r="D182">
        <v>161</v>
      </c>
      <c r="E182">
        <v>0.42450576624009606</v>
      </c>
    </row>
    <row r="183" spans="2:5">
      <c r="B183" t="s">
        <v>100</v>
      </c>
      <c r="C183" t="str">
        <f t="shared" si="2"/>
        <v>Gamma (2.07 80.2)</v>
      </c>
      <c r="D183">
        <v>162</v>
      </c>
      <c r="E183">
        <v>0.42109361233242271</v>
      </c>
    </row>
    <row r="184" spans="2:5">
      <c r="B184" t="s">
        <v>100</v>
      </c>
      <c r="C184" t="str">
        <f t="shared" si="2"/>
        <v>Gamma (2.07 80.2)</v>
      </c>
      <c r="D184">
        <v>163</v>
      </c>
      <c r="E184">
        <v>0.41770140815958523</v>
      </c>
    </row>
    <row r="185" spans="2:5">
      <c r="B185" t="s">
        <v>100</v>
      </c>
      <c r="C185" t="str">
        <f t="shared" si="2"/>
        <v>Gamma (2.07 80.2)</v>
      </c>
      <c r="D185">
        <v>164</v>
      </c>
      <c r="E185">
        <v>0.41432917373443223</v>
      </c>
    </row>
    <row r="186" spans="2:5">
      <c r="B186" t="s">
        <v>100</v>
      </c>
      <c r="C186" t="str">
        <f t="shared" si="2"/>
        <v>Gamma (2.07 80.2)</v>
      </c>
      <c r="D186">
        <v>165</v>
      </c>
      <c r="E186">
        <v>0.41097692568176014</v>
      </c>
    </row>
    <row r="187" spans="2:5">
      <c r="B187" t="s">
        <v>100</v>
      </c>
      <c r="C187" t="str">
        <f t="shared" si="2"/>
        <v>Gamma (2.07 80.2)</v>
      </c>
      <c r="D187">
        <v>166</v>
      </c>
      <c r="E187">
        <v>0.40764467731580689</v>
      </c>
    </row>
    <row r="188" spans="2:5">
      <c r="B188" t="s">
        <v>100</v>
      </c>
      <c r="C188" t="str">
        <f t="shared" si="2"/>
        <v>Gamma (2.07 80.2)</v>
      </c>
      <c r="D188">
        <v>167</v>
      </c>
      <c r="E188">
        <v>0.40433243871641666</v>
      </c>
    </row>
    <row r="189" spans="2:5">
      <c r="B189" t="s">
        <v>100</v>
      </c>
      <c r="C189" t="str">
        <f t="shared" si="2"/>
        <v>Gamma (2.07 80.2)</v>
      </c>
      <c r="D189">
        <v>168</v>
      </c>
      <c r="E189">
        <v>0.40104021680390356</v>
      </c>
    </row>
    <row r="190" spans="2:5">
      <c r="B190" t="s">
        <v>100</v>
      </c>
      <c r="C190" t="str">
        <f t="shared" si="2"/>
        <v>Gamma (2.07 80.2)</v>
      </c>
      <c r="D190">
        <v>169</v>
      </c>
      <c r="E190">
        <v>0.39776801541263063</v>
      </c>
    </row>
    <row r="191" spans="2:5">
      <c r="B191" t="s">
        <v>100</v>
      </c>
      <c r="C191" t="str">
        <f t="shared" si="2"/>
        <v>Gamma (2.07 80.2)</v>
      </c>
      <c r="D191">
        <v>170</v>
      </c>
      <c r="E191">
        <v>0.39451583536331558</v>
      </c>
    </row>
    <row r="192" spans="2:5">
      <c r="B192" t="s">
        <v>100</v>
      </c>
      <c r="C192" t="str">
        <f t="shared" si="2"/>
        <v>Gamma (2.07 80.2)</v>
      </c>
      <c r="D192">
        <v>171</v>
      </c>
      <c r="E192">
        <v>0.39128367453409219</v>
      </c>
    </row>
    <row r="193" spans="2:5">
      <c r="B193" t="s">
        <v>100</v>
      </c>
      <c r="C193" t="str">
        <f t="shared" si="2"/>
        <v>Gamma (2.07 80.2)</v>
      </c>
      <c r="D193">
        <v>172</v>
      </c>
      <c r="E193">
        <v>0.38807152793033972</v>
      </c>
    </row>
    <row r="194" spans="2:5">
      <c r="B194" t="s">
        <v>100</v>
      </c>
      <c r="C194" t="str">
        <f t="shared" si="2"/>
        <v>Gamma (2.07 80.2)</v>
      </c>
      <c r="D194">
        <v>173</v>
      </c>
      <c r="E194">
        <v>0.38487938775329678</v>
      </c>
    </row>
    <row r="195" spans="2:5">
      <c r="B195" t="s">
        <v>100</v>
      </c>
      <c r="C195" t="str">
        <f t="shared" si="2"/>
        <v>Gamma (2.07 80.2)</v>
      </c>
      <c r="D195">
        <v>174</v>
      </c>
      <c r="E195">
        <v>0.38170724346748208</v>
      </c>
    </row>
    <row r="196" spans="2:5">
      <c r="B196" t="s">
        <v>100</v>
      </c>
      <c r="C196" t="str">
        <f t="shared" si="2"/>
        <v>Gamma (2.07 80.2)</v>
      </c>
      <c r="D196">
        <v>175</v>
      </c>
      <c r="E196">
        <v>0.37855508186693543</v>
      </c>
    </row>
    <row r="197" spans="2:5">
      <c r="B197" t="s">
        <v>100</v>
      </c>
      <c r="C197" t="str">
        <f t="shared" si="2"/>
        <v>Gamma (2.07 80.2)</v>
      </c>
      <c r="D197">
        <v>176</v>
      </c>
      <c r="E197">
        <v>0.37542288714029759</v>
      </c>
    </row>
    <row r="198" spans="2:5">
      <c r="B198" t="s">
        <v>100</v>
      </c>
      <c r="C198" t="str">
        <f t="shared" si="2"/>
        <v>Gamma (2.07 80.2)</v>
      </c>
      <c r="D198">
        <v>177</v>
      </c>
      <c r="E198">
        <v>0.37231064093475186</v>
      </c>
    </row>
    <row r="199" spans="2:5">
      <c r="B199" t="s">
        <v>100</v>
      </c>
      <c r="C199" t="str">
        <f t="shared" si="2"/>
        <v>Gamma (2.07 80.2)</v>
      </c>
      <c r="D199">
        <v>178</v>
      </c>
      <c r="E199">
        <v>0.36921832241882457</v>
      </c>
    </row>
    <row r="200" spans="2:5">
      <c r="B200" t="s">
        <v>100</v>
      </c>
      <c r="C200" t="str">
        <f t="shared" si="2"/>
        <v>Gamma (2.07 80.2)</v>
      </c>
      <c r="D200">
        <v>179</v>
      </c>
      <c r="E200">
        <v>0.36614590834409955</v>
      </c>
    </row>
    <row r="201" spans="2:5">
      <c r="B201" t="s">
        <v>100</v>
      </c>
      <c r="C201" t="str">
        <f t="shared" si="2"/>
        <v>Gamma (2.07 80.2)</v>
      </c>
      <c r="D201">
        <v>180</v>
      </c>
      <c r="E201">
        <v>0.36309337310581025</v>
      </c>
    </row>
    <row r="202" spans="2:5">
      <c r="B202" t="s">
        <v>100</v>
      </c>
      <c r="C202" t="str">
        <f t="shared" si="2"/>
        <v>Gamma (2.07 80.2)</v>
      </c>
      <c r="D202">
        <v>181</v>
      </c>
      <c r="E202">
        <v>0.36006068880237674</v>
      </c>
    </row>
    <row r="203" spans="2:5">
      <c r="B203" t="s">
        <v>100</v>
      </c>
      <c r="C203" t="str">
        <f t="shared" si="2"/>
        <v>Gamma (2.07 80.2)</v>
      </c>
      <c r="D203">
        <v>182</v>
      </c>
      <c r="E203">
        <v>0.35704782529386936</v>
      </c>
    </row>
    <row r="204" spans="2:5">
      <c r="B204" t="s">
        <v>100</v>
      </c>
      <c r="C204" t="str">
        <f t="shared" si="2"/>
        <v>Gamma (2.07 80.2)</v>
      </c>
      <c r="D204">
        <v>183</v>
      </c>
      <c r="E204">
        <v>0.35405475025943511</v>
      </c>
    </row>
    <row r="205" spans="2:5">
      <c r="B205" t="s">
        <v>100</v>
      </c>
      <c r="C205" t="str">
        <f t="shared" si="2"/>
        <v>Gamma (2.07 80.2)</v>
      </c>
      <c r="D205">
        <v>184</v>
      </c>
      <c r="E205">
        <v>0.35108142925368524</v>
      </c>
    </row>
    <row r="206" spans="2:5">
      <c r="B206" t="s">
        <v>100</v>
      </c>
      <c r="C206" t="str">
        <f t="shared" si="2"/>
        <v>Gamma (2.07 80.2)</v>
      </c>
      <c r="D206">
        <v>185</v>
      </c>
      <c r="E206">
        <v>0.34812782576207635</v>
      </c>
    </row>
    <row r="207" spans="2:5">
      <c r="B207" t="s">
        <v>100</v>
      </c>
      <c r="C207" t="str">
        <f t="shared" si="2"/>
        <v>Gamma (2.07 80.2)</v>
      </c>
      <c r="D207">
        <v>186</v>
      </c>
      <c r="E207">
        <v>0.34519390125528848</v>
      </c>
    </row>
    <row r="208" spans="2:5">
      <c r="B208" t="s">
        <v>100</v>
      </c>
      <c r="C208" t="str">
        <f t="shared" si="2"/>
        <v>Gamma (2.07 80.2)</v>
      </c>
      <c r="D208">
        <v>187</v>
      </c>
      <c r="E208">
        <v>0.34227961524262007</v>
      </c>
    </row>
    <row r="209" spans="2:5">
      <c r="B209" t="s">
        <v>100</v>
      </c>
      <c r="C209" t="str">
        <f t="shared" si="2"/>
        <v>Gamma (2.07 80.2)</v>
      </c>
      <c r="D209">
        <v>188</v>
      </c>
      <c r="E209">
        <v>0.33938492532441367</v>
      </c>
    </row>
    <row r="210" spans="2:5">
      <c r="B210" t="s">
        <v>100</v>
      </c>
      <c r="C210" t="str">
        <f t="shared" si="2"/>
        <v>Gamma (2.07 80.2)</v>
      </c>
      <c r="D210">
        <v>189</v>
      </c>
      <c r="E210">
        <v>0.33650978724353253</v>
      </c>
    </row>
    <row r="211" spans="2:5">
      <c r="B211" t="s">
        <v>100</v>
      </c>
      <c r="C211" t="str">
        <f t="shared" si="2"/>
        <v>Gamma (2.07 80.2)</v>
      </c>
      <c r="D211">
        <v>190</v>
      </c>
      <c r="E211">
        <v>0.33365415493588613</v>
      </c>
    </row>
    <row r="212" spans="2:5">
      <c r="B212" t="s">
        <v>100</v>
      </c>
      <c r="C212" t="str">
        <f t="shared" si="2"/>
        <v>Gamma (2.07 80.2)</v>
      </c>
      <c r="D212">
        <v>191</v>
      </c>
      <c r="E212">
        <v>0.33081798058004375</v>
      </c>
    </row>
    <row r="213" spans="2:5">
      <c r="B213" t="s">
        <v>100</v>
      </c>
      <c r="C213" t="str">
        <f t="shared" si="2"/>
        <v>Gamma (2.07 80.2)</v>
      </c>
      <c r="D213">
        <v>192</v>
      </c>
      <c r="E213">
        <v>0.32800121464592769</v>
      </c>
    </row>
    <row r="214" spans="2:5">
      <c r="B214" t="s">
        <v>100</v>
      </c>
      <c r="C214" t="str">
        <f t="shared" ref="C214:C277" si="3">$C$3</f>
        <v>Gamma (2.07 80.2)</v>
      </c>
      <c r="D214">
        <v>193</v>
      </c>
      <c r="E214">
        <v>0.32520380594261233</v>
      </c>
    </row>
    <row r="215" spans="2:5">
      <c r="B215" t="s">
        <v>100</v>
      </c>
      <c r="C215" t="str">
        <f t="shared" si="3"/>
        <v>Gamma (2.07 80.2)</v>
      </c>
      <c r="D215">
        <v>194</v>
      </c>
      <c r="E215">
        <v>0.32242570166524298</v>
      </c>
    </row>
    <row r="216" spans="2:5">
      <c r="B216" t="s">
        <v>100</v>
      </c>
      <c r="C216" t="str">
        <f t="shared" si="3"/>
        <v>Gamma (2.07 80.2)</v>
      </c>
      <c r="D216">
        <v>195</v>
      </c>
      <c r="E216">
        <v>0.31966684744107976</v>
      </c>
    </row>
    <row r="217" spans="2:5">
      <c r="B217" t="s">
        <v>100</v>
      </c>
      <c r="C217" t="str">
        <f t="shared" si="3"/>
        <v>Gamma (2.07 80.2)</v>
      </c>
      <c r="D217">
        <v>196</v>
      </c>
      <c r="E217">
        <v>0.31692718737468639</v>
      </c>
    </row>
    <row r="218" spans="2:5">
      <c r="B218" t="s">
        <v>100</v>
      </c>
      <c r="C218" t="str">
        <f t="shared" si="3"/>
        <v>Gamma (2.07 80.2)</v>
      </c>
      <c r="D218">
        <v>197</v>
      </c>
      <c r="E218">
        <v>0.31420666409228204</v>
      </c>
    </row>
    <row r="219" spans="2:5">
      <c r="B219" t="s">
        <v>100</v>
      </c>
      <c r="C219" t="str">
        <f t="shared" si="3"/>
        <v>Gamma (2.07 80.2)</v>
      </c>
      <c r="D219">
        <v>198</v>
      </c>
      <c r="E219">
        <v>0.31150521878525606</v>
      </c>
    </row>
    <row r="220" spans="2:5">
      <c r="B220" t="s">
        <v>100</v>
      </c>
      <c r="C220" t="str">
        <f t="shared" si="3"/>
        <v>Gamma (2.07 80.2)</v>
      </c>
      <c r="D220">
        <v>199</v>
      </c>
      <c r="E220">
        <v>0.3088227912528706</v>
      </c>
    </row>
    <row r="221" spans="2:5">
      <c r="B221" t="s">
        <v>100</v>
      </c>
      <c r="C221" t="str">
        <f t="shared" si="3"/>
        <v>Gamma (2.07 80.2)</v>
      </c>
      <c r="D221">
        <v>200</v>
      </c>
      <c r="E221">
        <v>0.30615931994415391</v>
      </c>
    </row>
    <row r="222" spans="2:5">
      <c r="B222" t="s">
        <v>100</v>
      </c>
      <c r="C222" t="str">
        <f t="shared" si="3"/>
        <v>Gamma (2.07 80.2)</v>
      </c>
      <c r="D222">
        <v>201</v>
      </c>
      <c r="E222">
        <v>0.30351474199900996</v>
      </c>
    </row>
    <row r="223" spans="2:5">
      <c r="B223" t="s">
        <v>100</v>
      </c>
      <c r="C223" t="str">
        <f t="shared" si="3"/>
        <v>Gamma (2.07 80.2)</v>
      </c>
      <c r="D223">
        <v>202</v>
      </c>
      <c r="E223">
        <v>0.30088899328854291</v>
      </c>
    </row>
    <row r="224" spans="2:5">
      <c r="B224" t="s">
        <v>100</v>
      </c>
      <c r="C224" t="str">
        <f t="shared" si="3"/>
        <v>Gamma (2.07 80.2)</v>
      </c>
      <c r="D224">
        <v>203</v>
      </c>
      <c r="E224">
        <v>0.29828200845461716</v>
      </c>
    </row>
    <row r="225" spans="2:5">
      <c r="B225" t="s">
        <v>100</v>
      </c>
      <c r="C225" t="str">
        <f t="shared" si="3"/>
        <v>Gamma (2.07 80.2)</v>
      </c>
      <c r="D225">
        <v>204</v>
      </c>
      <c r="E225">
        <v>0.29569372094865976</v>
      </c>
    </row>
    <row r="226" spans="2:5">
      <c r="B226" t="s">
        <v>100</v>
      </c>
      <c r="C226" t="str">
        <f t="shared" si="3"/>
        <v>Gamma (2.07 80.2)</v>
      </c>
      <c r="D226">
        <v>205</v>
      </c>
      <c r="E226">
        <v>0.29312406306972838</v>
      </c>
    </row>
    <row r="227" spans="2:5">
      <c r="B227" t="s">
        <v>100</v>
      </c>
      <c r="C227" t="str">
        <f t="shared" si="3"/>
        <v>Gamma (2.07 80.2)</v>
      </c>
      <c r="D227">
        <v>206</v>
      </c>
      <c r="E227">
        <v>0.29057296600183635</v>
      </c>
    </row>
    <row r="228" spans="2:5">
      <c r="B228" t="s">
        <v>100</v>
      </c>
      <c r="C228" t="str">
        <f t="shared" si="3"/>
        <v>Gamma (2.07 80.2)</v>
      </c>
      <c r="D228">
        <v>207</v>
      </c>
      <c r="E228">
        <v>0.28804035985056775</v>
      </c>
    </row>
    <row r="229" spans="2:5">
      <c r="B229" t="s">
        <v>100</v>
      </c>
      <c r="C229" t="str">
        <f t="shared" si="3"/>
        <v>Gamma (2.07 80.2)</v>
      </c>
      <c r="D229">
        <v>208</v>
      </c>
      <c r="E229">
        <v>0.28552617367898159</v>
      </c>
    </row>
    <row r="230" spans="2:5">
      <c r="B230" t="s">
        <v>100</v>
      </c>
      <c r="C230" t="str">
        <f t="shared" si="3"/>
        <v>Gamma (2.07 80.2)</v>
      </c>
      <c r="D230">
        <v>209</v>
      </c>
      <c r="E230">
        <v>0.28303033554281698</v>
      </c>
    </row>
    <row r="231" spans="2:5">
      <c r="B231" t="s">
        <v>100</v>
      </c>
      <c r="C231" t="str">
        <f t="shared" si="3"/>
        <v>Gamma (2.07 80.2)</v>
      </c>
      <c r="D231">
        <v>210</v>
      </c>
      <c r="E231">
        <v>0.28055277252501909</v>
      </c>
    </row>
    <row r="232" spans="2:5">
      <c r="B232" t="s">
        <v>100</v>
      </c>
      <c r="C232" t="str">
        <f t="shared" si="3"/>
        <v>Gamma (2.07 80.2)</v>
      </c>
      <c r="D232">
        <v>211</v>
      </c>
      <c r="E232">
        <v>0.27809341076958083</v>
      </c>
    </row>
    <row r="233" spans="2:5">
      <c r="B233" t="s">
        <v>100</v>
      </c>
      <c r="C233" t="str">
        <f t="shared" si="3"/>
        <v>Gamma (2.07 80.2)</v>
      </c>
      <c r="D233">
        <v>212</v>
      </c>
      <c r="E233">
        <v>0.27565217551473098</v>
      </c>
    </row>
    <row r="234" spans="2:5">
      <c r="B234" t="s">
        <v>100</v>
      </c>
      <c r="C234" t="str">
        <f t="shared" si="3"/>
        <v>Gamma (2.07 80.2)</v>
      </c>
      <c r="D234">
        <v>213</v>
      </c>
      <c r="E234">
        <v>0.27322899112546484</v>
      </c>
    </row>
    <row r="235" spans="2:5">
      <c r="B235" t="s">
        <v>100</v>
      </c>
      <c r="C235" t="str">
        <f t="shared" si="3"/>
        <v>Gamma (2.07 80.2)</v>
      </c>
      <c r="D235">
        <v>214</v>
      </c>
      <c r="E235">
        <v>0.27082378112542949</v>
      </c>
    </row>
    <row r="236" spans="2:5">
      <c r="B236" t="s">
        <v>100</v>
      </c>
      <c r="C236" t="str">
        <f t="shared" si="3"/>
        <v>Gamma (2.07 80.2)</v>
      </c>
      <c r="D236">
        <v>215</v>
      </c>
      <c r="E236">
        <v>0.26843646822818301</v>
      </c>
    </row>
    <row r="237" spans="2:5">
      <c r="B237" t="s">
        <v>100</v>
      </c>
      <c r="C237" t="str">
        <f t="shared" si="3"/>
        <v>Gamma (2.07 80.2)</v>
      </c>
      <c r="D237">
        <v>216</v>
      </c>
      <c r="E237">
        <v>0.26606697436782656</v>
      </c>
    </row>
    <row r="238" spans="2:5">
      <c r="B238" t="s">
        <v>100</v>
      </c>
      <c r="C238" t="str">
        <f t="shared" si="3"/>
        <v>Gamma (2.07 80.2)</v>
      </c>
      <c r="D238">
        <v>217</v>
      </c>
      <c r="E238">
        <v>0.26371522072902986</v>
      </c>
    </row>
    <row r="239" spans="2:5">
      <c r="B239" t="s">
        <v>100</v>
      </c>
      <c r="C239" t="str">
        <f t="shared" si="3"/>
        <v>Gamma (2.07 80.2)</v>
      </c>
      <c r="D239">
        <v>218</v>
      </c>
      <c r="E239">
        <v>0.26138112777645006</v>
      </c>
    </row>
    <row r="240" spans="2:5">
      <c r="B240" t="s">
        <v>100</v>
      </c>
      <c r="C240" t="str">
        <f t="shared" si="3"/>
        <v>Gamma (2.07 80.2)</v>
      </c>
      <c r="D240">
        <v>219</v>
      </c>
      <c r="E240">
        <v>0.25906461528356028</v>
      </c>
    </row>
    <row r="241" spans="2:5">
      <c r="B241" t="s">
        <v>100</v>
      </c>
      <c r="C241" t="str">
        <f t="shared" si="3"/>
        <v>Gamma (2.07 80.2)</v>
      </c>
      <c r="D241">
        <v>220</v>
      </c>
      <c r="E241">
        <v>0.25676560236089907</v>
      </c>
    </row>
    <row r="242" spans="2:5">
      <c r="B242" t="s">
        <v>100</v>
      </c>
      <c r="C242" t="str">
        <f t="shared" si="3"/>
        <v>Gamma (2.07 80.2)</v>
      </c>
      <c r="D242">
        <v>221</v>
      </c>
      <c r="E242">
        <v>0.25448400748374167</v>
      </c>
    </row>
    <row r="243" spans="2:5">
      <c r="B243" t="s">
        <v>100</v>
      </c>
      <c r="C243" t="str">
        <f t="shared" si="3"/>
        <v>Gamma (2.07 80.2)</v>
      </c>
      <c r="D243">
        <v>222</v>
      </c>
      <c r="E243">
        <v>0.25221974851921192</v>
      </c>
    </row>
    <row r="244" spans="2:5">
      <c r="B244" t="s">
        <v>100</v>
      </c>
      <c r="C244" t="str">
        <f t="shared" si="3"/>
        <v>Gamma (2.07 80.2)</v>
      </c>
      <c r="D244">
        <v>223</v>
      </c>
      <c r="E244">
        <v>0.24997274275283932</v>
      </c>
    </row>
    <row r="245" spans="2:5">
      <c r="B245" t="s">
        <v>100</v>
      </c>
      <c r="C245" t="str">
        <f t="shared" si="3"/>
        <v>Gamma (2.07 80.2)</v>
      </c>
      <c r="D245">
        <v>224</v>
      </c>
      <c r="E245">
        <v>0.24774290691456846</v>
      </c>
    </row>
    <row r="246" spans="2:5">
      <c r="B246" t="s">
        <v>100</v>
      </c>
      <c r="C246" t="str">
        <f t="shared" si="3"/>
        <v>Gamma (2.07 80.2)</v>
      </c>
      <c r="D246">
        <v>225</v>
      </c>
      <c r="E246">
        <v>0.24553015720423832</v>
      </c>
    </row>
    <row r="247" spans="2:5">
      <c r="B247" t="s">
        <v>100</v>
      </c>
      <c r="C247" t="str">
        <f t="shared" si="3"/>
        <v>Gamma (2.07 80.2)</v>
      </c>
      <c r="D247">
        <v>226</v>
      </c>
      <c r="E247">
        <v>0.24333440931652794</v>
      </c>
    </row>
    <row r="248" spans="2:5">
      <c r="B248" t="s">
        <v>100</v>
      </c>
      <c r="C248" t="str">
        <f t="shared" si="3"/>
        <v>Gamma (2.07 80.2)</v>
      </c>
      <c r="D248">
        <v>227</v>
      </c>
      <c r="E248">
        <v>0.24115557846538793</v>
      </c>
    </row>
    <row r="249" spans="2:5">
      <c r="B249" t="s">
        <v>100</v>
      </c>
      <c r="C249" t="str">
        <f t="shared" si="3"/>
        <v>Gamma (2.07 80.2)</v>
      </c>
      <c r="D249">
        <v>228</v>
      </c>
      <c r="E249">
        <v>0.23899357940796162</v>
      </c>
    </row>
    <row r="250" spans="2:5">
      <c r="B250" t="s">
        <v>100</v>
      </c>
      <c r="C250" t="str">
        <f t="shared" si="3"/>
        <v>Gamma (2.07 80.2)</v>
      </c>
      <c r="D250">
        <v>229</v>
      </c>
      <c r="E250">
        <v>0.23684832646800469</v>
      </c>
    </row>
    <row r="251" spans="2:5">
      <c r="B251" t="s">
        <v>100</v>
      </c>
      <c r="C251" t="str">
        <f t="shared" si="3"/>
        <v>Gamma (2.07 80.2)</v>
      </c>
      <c r="D251">
        <v>230</v>
      </c>
      <c r="E251">
        <v>0.23471973355881026</v>
      </c>
    </row>
    <row r="252" spans="2:5">
      <c r="B252" t="s">
        <v>100</v>
      </c>
      <c r="C252" t="str">
        <f t="shared" si="3"/>
        <v>Gamma (2.07 80.2)</v>
      </c>
      <c r="D252">
        <v>231</v>
      </c>
      <c r="E252">
        <v>0.23260771420565285</v>
      </c>
    </row>
    <row r="253" spans="2:5">
      <c r="B253" t="s">
        <v>100</v>
      </c>
      <c r="C253" t="str">
        <f t="shared" si="3"/>
        <v>Gamma (2.07 80.2)</v>
      </c>
      <c r="D253">
        <v>232</v>
      </c>
      <c r="E253">
        <v>0.23051218156775422</v>
      </c>
    </row>
    <row r="254" spans="2:5">
      <c r="B254" t="s">
        <v>100</v>
      </c>
      <c r="C254" t="str">
        <f t="shared" si="3"/>
        <v>Gamma (2.07 80.2)</v>
      </c>
      <c r="D254">
        <v>233</v>
      </c>
      <c r="E254">
        <v>0.22843304845977941</v>
      </c>
    </row>
    <row r="255" spans="2:5">
      <c r="B255" t="s">
        <v>100</v>
      </c>
      <c r="C255" t="str">
        <f t="shared" si="3"/>
        <v>Gamma (2.07 80.2)</v>
      </c>
      <c r="D255">
        <v>234</v>
      </c>
      <c r="E255">
        <v>0.22637022737287438</v>
      </c>
    </row>
    <row r="256" spans="2:5">
      <c r="B256" t="s">
        <v>100</v>
      </c>
      <c r="C256" t="str">
        <f t="shared" si="3"/>
        <v>Gamma (2.07 80.2)</v>
      </c>
      <c r="D256">
        <v>235</v>
      </c>
      <c r="E256">
        <v>0.22432363049525017</v>
      </c>
    </row>
    <row r="257" spans="2:5">
      <c r="B257" t="s">
        <v>100</v>
      </c>
      <c r="C257" t="str">
        <f t="shared" si="3"/>
        <v>Gamma (2.07 80.2)</v>
      </c>
      <c r="D257">
        <v>236</v>
      </c>
      <c r="E257">
        <v>0.22229316973232272</v>
      </c>
    </row>
    <row r="258" spans="2:5">
      <c r="B258" t="s">
        <v>100</v>
      </c>
      <c r="C258" t="str">
        <f t="shared" si="3"/>
        <v>Gamma (2.07 80.2)</v>
      </c>
      <c r="D258">
        <v>237</v>
      </c>
      <c r="E258">
        <v>0.22027875672641173</v>
      </c>
    </row>
    <row r="259" spans="2:5">
      <c r="B259" t="s">
        <v>100</v>
      </c>
      <c r="C259" t="str">
        <f t="shared" si="3"/>
        <v>Gamma (2.07 80.2)</v>
      </c>
      <c r="D259">
        <v>238</v>
      </c>
      <c r="E259">
        <v>0.21828030287601552</v>
      </c>
    </row>
    <row r="260" spans="2:5">
      <c r="B260" t="s">
        <v>100</v>
      </c>
      <c r="C260" t="str">
        <f t="shared" si="3"/>
        <v>Gamma (2.07 80.2)</v>
      </c>
      <c r="D260">
        <v>239</v>
      </c>
      <c r="E260">
        <v>0.21629771935465758</v>
      </c>
    </row>
    <row r="261" spans="2:5">
      <c r="B261" t="s">
        <v>100</v>
      </c>
      <c r="C261" t="str">
        <f t="shared" si="3"/>
        <v>Gamma (2.07 80.2)</v>
      </c>
      <c r="D261">
        <v>240</v>
      </c>
      <c r="E261">
        <v>0.21433091712932029</v>
      </c>
    </row>
    <row r="262" spans="2:5">
      <c r="B262" t="s">
        <v>100</v>
      </c>
      <c r="C262" t="str">
        <f t="shared" si="3"/>
        <v>Gamma (2.07 80.2)</v>
      </c>
      <c r="D262">
        <v>241</v>
      </c>
      <c r="E262">
        <v>0.21237980697846925</v>
      </c>
    </row>
    <row r="263" spans="2:5">
      <c r="B263" t="s">
        <v>100</v>
      </c>
      <c r="C263" t="str">
        <f t="shared" si="3"/>
        <v>Gamma (2.07 80.2)</v>
      </c>
      <c r="D263">
        <v>242</v>
      </c>
      <c r="E263">
        <v>0.21044429950967836</v>
      </c>
    </row>
    <row r="264" spans="2:5">
      <c r="B264" t="s">
        <v>100</v>
      </c>
      <c r="C264" t="str">
        <f t="shared" si="3"/>
        <v>Gamma (2.07 80.2)</v>
      </c>
      <c r="D264">
        <v>243</v>
      </c>
      <c r="E264">
        <v>0.20852430517685638</v>
      </c>
    </row>
    <row r="265" spans="2:5">
      <c r="B265" t="s">
        <v>100</v>
      </c>
      <c r="C265" t="str">
        <f t="shared" si="3"/>
        <v>Gamma (2.07 80.2)</v>
      </c>
      <c r="D265">
        <v>244</v>
      </c>
      <c r="E265">
        <v>0.20661973429708991</v>
      </c>
    </row>
    <row r="266" spans="2:5">
      <c r="B266" t="s">
        <v>100</v>
      </c>
      <c r="C266" t="str">
        <f t="shared" si="3"/>
        <v>Gamma (2.07 80.2)</v>
      </c>
      <c r="D266">
        <v>245</v>
      </c>
      <c r="E266">
        <v>0.204730497067102</v>
      </c>
    </row>
    <row r="267" spans="2:5">
      <c r="B267" t="s">
        <v>100</v>
      </c>
      <c r="C267" t="str">
        <f t="shared" si="3"/>
        <v>Gamma (2.07 80.2)</v>
      </c>
      <c r="D267">
        <v>246</v>
      </c>
      <c r="E267">
        <v>0.20285650357934037</v>
      </c>
    </row>
    <row r="268" spans="2:5">
      <c r="B268" t="s">
        <v>100</v>
      </c>
      <c r="C268" t="str">
        <f t="shared" si="3"/>
        <v>Gamma (2.07 80.2)</v>
      </c>
      <c r="D268">
        <v>247</v>
      </c>
      <c r="E268">
        <v>0.20099766383769191</v>
      </c>
    </row>
    <row r="269" spans="2:5">
      <c r="B269" t="s">
        <v>100</v>
      </c>
      <c r="C269" t="str">
        <f t="shared" si="3"/>
        <v>Gamma (2.07 80.2)</v>
      </c>
      <c r="D269">
        <v>248</v>
      </c>
      <c r="E269">
        <v>0.19915388777284215</v>
      </c>
    </row>
    <row r="270" spans="2:5">
      <c r="B270" t="s">
        <v>100</v>
      </c>
      <c r="C270" t="str">
        <f t="shared" si="3"/>
        <v>Gamma (2.07 80.2)</v>
      </c>
      <c r="D270">
        <v>249</v>
      </c>
      <c r="E270">
        <v>0.19732508525727543</v>
      </c>
    </row>
    <row r="271" spans="2:5">
      <c r="B271" t="s">
        <v>100</v>
      </c>
      <c r="C271" t="str">
        <f t="shared" si="3"/>
        <v>Gamma (2.07 80.2)</v>
      </c>
      <c r="D271">
        <v>250</v>
      </c>
      <c r="E271">
        <v>0.19551116611992581</v>
      </c>
    </row>
    <row r="272" spans="2:5">
      <c r="B272" t="s">
        <v>100</v>
      </c>
      <c r="C272" t="str">
        <f t="shared" si="3"/>
        <v>Gamma (2.07 80.2)</v>
      </c>
      <c r="D272">
        <v>251</v>
      </c>
      <c r="E272">
        <v>0.19371204016048871</v>
      </c>
    </row>
    <row r="273" spans="2:5">
      <c r="B273" t="s">
        <v>100</v>
      </c>
      <c r="C273" t="str">
        <f t="shared" si="3"/>
        <v>Gamma (2.07 80.2)</v>
      </c>
      <c r="D273">
        <v>252</v>
      </c>
      <c r="E273">
        <v>0.19192761716339135</v>
      </c>
    </row>
    <row r="274" spans="2:5">
      <c r="B274" t="s">
        <v>100</v>
      </c>
      <c r="C274" t="str">
        <f t="shared" si="3"/>
        <v>Gamma (2.07 80.2)</v>
      </c>
      <c r="D274">
        <v>253</v>
      </c>
      <c r="E274">
        <v>0.19015780691143525</v>
      </c>
    </row>
    <row r="275" spans="2:5">
      <c r="B275" t="s">
        <v>100</v>
      </c>
      <c r="C275" t="str">
        <f t="shared" si="3"/>
        <v>Gamma (2.07 80.2)</v>
      </c>
      <c r="D275">
        <v>254</v>
      </c>
      <c r="E275">
        <v>0.18840251919911299</v>
      </c>
    </row>
    <row r="276" spans="2:5">
      <c r="B276" t="s">
        <v>100</v>
      </c>
      <c r="C276" t="str">
        <f t="shared" si="3"/>
        <v>Gamma (2.07 80.2)</v>
      </c>
      <c r="D276">
        <v>255</v>
      </c>
      <c r="E276">
        <v>0.1866616638456059</v>
      </c>
    </row>
    <row r="277" spans="2:5">
      <c r="B277" t="s">
        <v>100</v>
      </c>
      <c r="C277" t="str">
        <f t="shared" si="3"/>
        <v>Gamma (2.07 80.2)</v>
      </c>
      <c r="D277">
        <v>256</v>
      </c>
      <c r="E277">
        <v>0.1849351507074648</v>
      </c>
    </row>
    <row r="278" spans="2:5">
      <c r="B278" t="s">
        <v>100</v>
      </c>
      <c r="C278" t="str">
        <f t="shared" ref="C278:C321" si="4">$C$3</f>
        <v>Gamma (2.07 80.2)</v>
      </c>
      <c r="D278">
        <v>257</v>
      </c>
      <c r="E278">
        <v>0.18322288969098965</v>
      </c>
    </row>
    <row r="279" spans="2:5">
      <c r="B279" t="s">
        <v>100</v>
      </c>
      <c r="C279" t="str">
        <f t="shared" si="4"/>
        <v>Gamma (2.07 80.2)</v>
      </c>
      <c r="D279">
        <v>258</v>
      </c>
      <c r="E279">
        <v>0.18152479076429817</v>
      </c>
    </row>
    <row r="280" spans="2:5">
      <c r="B280" t="s">
        <v>100</v>
      </c>
      <c r="C280" t="str">
        <f t="shared" si="4"/>
        <v>Gamma (2.07 80.2)</v>
      </c>
      <c r="D280">
        <v>259</v>
      </c>
      <c r="E280">
        <v>0.17984076396910453</v>
      </c>
    </row>
    <row r="281" spans="2:5">
      <c r="B281" t="s">
        <v>100</v>
      </c>
      <c r="C281" t="str">
        <f t="shared" si="4"/>
        <v>Gamma (2.07 80.2)</v>
      </c>
      <c r="D281">
        <v>260</v>
      </c>
      <c r="E281">
        <v>0.17817071943220264</v>
      </c>
    </row>
    <row r="282" spans="2:5">
      <c r="B282" t="s">
        <v>100</v>
      </c>
      <c r="C282" t="str">
        <f t="shared" si="4"/>
        <v>Gamma (2.07 80.2)</v>
      </c>
      <c r="D282">
        <v>261</v>
      </c>
      <c r="E282">
        <v>0.17651456737666127</v>
      </c>
    </row>
    <row r="283" spans="2:5">
      <c r="B283" t="s">
        <v>100</v>
      </c>
      <c r="C283" t="str">
        <f t="shared" si="4"/>
        <v>Gamma (2.07 80.2)</v>
      </c>
      <c r="D283">
        <v>262</v>
      </c>
      <c r="E283">
        <v>0.17487221813274223</v>
      </c>
    </row>
    <row r="284" spans="2:5">
      <c r="B284" t="s">
        <v>100</v>
      </c>
      <c r="C284" t="str">
        <f t="shared" si="4"/>
        <v>Gamma (2.07 80.2)</v>
      </c>
      <c r="D284">
        <v>263</v>
      </c>
      <c r="E284">
        <v>0.17324358214853774</v>
      </c>
    </row>
    <row r="285" spans="2:5">
      <c r="B285" t="s">
        <v>100</v>
      </c>
      <c r="C285" t="str">
        <f t="shared" si="4"/>
        <v>Gamma (2.07 80.2)</v>
      </c>
      <c r="D285">
        <v>264</v>
      </c>
      <c r="E285">
        <v>0.17162857000034015</v>
      </c>
    </row>
    <row r="286" spans="2:5">
      <c r="B286" t="s">
        <v>100</v>
      </c>
      <c r="C286" t="str">
        <f t="shared" si="4"/>
        <v>Gamma (2.07 80.2)</v>
      </c>
      <c r="D286">
        <v>265</v>
      </c>
      <c r="E286">
        <v>0.1700270924027425</v>
      </c>
    </row>
    <row r="287" spans="2:5">
      <c r="B287" t="s">
        <v>100</v>
      </c>
      <c r="C287" t="str">
        <f t="shared" si="4"/>
        <v>Gamma (2.07 80.2)</v>
      </c>
      <c r="D287">
        <v>266</v>
      </c>
      <c r="E287">
        <v>0.16843906021847743</v>
      </c>
    </row>
    <row r="288" spans="2:5">
      <c r="B288" t="s">
        <v>100</v>
      </c>
      <c r="C288" t="str">
        <f t="shared" si="4"/>
        <v>Gamma (2.07 80.2)</v>
      </c>
      <c r="D288">
        <v>267</v>
      </c>
      <c r="E288">
        <v>0.16686438446800189</v>
      </c>
    </row>
    <row r="289" spans="2:5">
      <c r="B289" t="s">
        <v>100</v>
      </c>
      <c r="C289" t="str">
        <f t="shared" si="4"/>
        <v>Gamma (2.07 80.2)</v>
      </c>
      <c r="D289">
        <v>268</v>
      </c>
      <c r="E289">
        <v>0.16530297633882651</v>
      </c>
    </row>
    <row r="290" spans="2:5">
      <c r="B290" t="s">
        <v>100</v>
      </c>
      <c r="C290" t="str">
        <f t="shared" si="4"/>
        <v>Gamma (2.07 80.2)</v>
      </c>
      <c r="D290">
        <v>269</v>
      </c>
      <c r="E290">
        <v>0.16375474719459993</v>
      </c>
    </row>
    <row r="291" spans="2:5">
      <c r="B291" t="s">
        <v>100</v>
      </c>
      <c r="C291" t="str">
        <f t="shared" si="4"/>
        <v>Gamma (2.07 80.2)</v>
      </c>
      <c r="D291">
        <v>270</v>
      </c>
      <c r="E291">
        <v>0.16221960858394868</v>
      </c>
    </row>
    <row r="292" spans="2:5">
      <c r="B292" t="s">
        <v>100</v>
      </c>
      <c r="C292" t="str">
        <f t="shared" si="4"/>
        <v>Gamma (2.07 80.2)</v>
      </c>
      <c r="D292">
        <v>271</v>
      </c>
      <c r="E292">
        <v>0.16069747224907849</v>
      </c>
    </row>
    <row r="293" spans="2:5">
      <c r="B293" t="s">
        <v>100</v>
      </c>
      <c r="C293" t="str">
        <f t="shared" si="4"/>
        <v>Gamma (2.07 80.2)</v>
      </c>
      <c r="D293">
        <v>272</v>
      </c>
      <c r="E293">
        <v>0.15918825013414306</v>
      </c>
    </row>
    <row r="294" spans="2:5">
      <c r="B294" t="s">
        <v>100</v>
      </c>
      <c r="C294" t="str">
        <f t="shared" si="4"/>
        <v>Gamma (2.07 80.2)</v>
      </c>
      <c r="D294">
        <v>273</v>
      </c>
      <c r="E294">
        <v>0.15769185439338174</v>
      </c>
    </row>
    <row r="295" spans="2:5">
      <c r="B295" t="s">
        <v>100</v>
      </c>
      <c r="C295" t="str">
        <f t="shared" si="4"/>
        <v>Gamma (2.07 80.2)</v>
      </c>
      <c r="D295">
        <v>274</v>
      </c>
      <c r="E295">
        <v>0.1562081973990308</v>
      </c>
    </row>
    <row r="296" spans="2:5">
      <c r="B296" t="s">
        <v>100</v>
      </c>
      <c r="C296" t="str">
        <f t="shared" si="4"/>
        <v>Gamma (2.07 80.2)</v>
      </c>
      <c r="D296">
        <v>275</v>
      </c>
      <c r="E296">
        <v>0.15473719174901635</v>
      </c>
    </row>
    <row r="297" spans="2:5">
      <c r="B297" t="s">
        <v>100</v>
      </c>
      <c r="C297" t="str">
        <f t="shared" si="4"/>
        <v>Gamma (2.07 80.2)</v>
      </c>
      <c r="D297">
        <v>276</v>
      </c>
      <c r="E297">
        <v>0.1532787502744275</v>
      </c>
    </row>
    <row r="298" spans="2:5">
      <c r="B298" t="s">
        <v>100</v>
      </c>
      <c r="C298" t="str">
        <f t="shared" si="4"/>
        <v>Gamma (2.07 80.2)</v>
      </c>
      <c r="D298">
        <v>277</v>
      </c>
      <c r="E298">
        <v>0.15183278604677763</v>
      </c>
    </row>
    <row r="299" spans="2:5">
      <c r="B299" t="s">
        <v>100</v>
      </c>
      <c r="C299" t="str">
        <f t="shared" si="4"/>
        <v>Gamma (2.07 80.2)</v>
      </c>
      <c r="D299">
        <v>278</v>
      </c>
      <c r="E299">
        <v>0.15039921238505527</v>
      </c>
    </row>
    <row r="300" spans="2:5">
      <c r="B300" t="s">
        <v>100</v>
      </c>
      <c r="C300" t="str">
        <f t="shared" si="4"/>
        <v>Gamma (2.07 80.2)</v>
      </c>
      <c r="D300">
        <v>279</v>
      </c>
      <c r="E300">
        <v>0.14897794286257193</v>
      </c>
    </row>
    <row r="301" spans="2:5">
      <c r="B301" t="s">
        <v>100</v>
      </c>
      <c r="C301" t="str">
        <f t="shared" si="4"/>
        <v>Gamma (2.07 80.2)</v>
      </c>
      <c r="D301">
        <v>280</v>
      </c>
      <c r="E301">
        <v>0.14756889131360795</v>
      </c>
    </row>
    <row r="302" spans="2:5">
      <c r="B302" t="s">
        <v>100</v>
      </c>
      <c r="C302" t="str">
        <f t="shared" si="4"/>
        <v>Gamma (2.07 80.2)</v>
      </c>
      <c r="D302">
        <v>281</v>
      </c>
      <c r="E302">
        <v>0.14617197183985864</v>
      </c>
    </row>
    <row r="303" spans="2:5">
      <c r="B303" t="s">
        <v>100</v>
      </c>
      <c r="C303" t="str">
        <f t="shared" si="4"/>
        <v>Gamma (2.07 80.2)</v>
      </c>
      <c r="D303">
        <v>282</v>
      </c>
      <c r="E303">
        <v>0.14478709881669161</v>
      </c>
    </row>
    <row r="304" spans="2:5">
      <c r="B304" t="s">
        <v>100</v>
      </c>
      <c r="C304" t="str">
        <f t="shared" si="4"/>
        <v>Gamma (2.07 80.2)</v>
      </c>
      <c r="D304">
        <v>283</v>
      </c>
      <c r="E304">
        <v>0.14341418689920782</v>
      </c>
    </row>
    <row r="305" spans="2:5">
      <c r="B305" t="s">
        <v>100</v>
      </c>
      <c r="C305" t="str">
        <f t="shared" si="4"/>
        <v>Gamma (2.07 80.2)</v>
      </c>
      <c r="D305">
        <v>284</v>
      </c>
      <c r="E305">
        <v>0.14205315102812155</v>
      </c>
    </row>
    <row r="306" spans="2:5">
      <c r="B306" t="s">
        <v>100</v>
      </c>
      <c r="C306" t="str">
        <f t="shared" si="4"/>
        <v>Gamma (2.07 80.2)</v>
      </c>
      <c r="D306">
        <v>285</v>
      </c>
      <c r="E306">
        <v>0.14070390643545616</v>
      </c>
    </row>
    <row r="307" spans="2:5">
      <c r="B307" t="s">
        <v>100</v>
      </c>
      <c r="C307" t="str">
        <f t="shared" si="4"/>
        <v>Gamma (2.07 80.2)</v>
      </c>
      <c r="D307">
        <v>286</v>
      </c>
      <c r="E307">
        <v>0.13936636865005758</v>
      </c>
    </row>
    <row r="308" spans="2:5">
      <c r="B308" t="s">
        <v>100</v>
      </c>
      <c r="C308" t="str">
        <f t="shared" si="4"/>
        <v>Gamma (2.07 80.2)</v>
      </c>
      <c r="D308">
        <v>287</v>
      </c>
      <c r="E308">
        <v>0.13804045350293737</v>
      </c>
    </row>
    <row r="309" spans="2:5">
      <c r="B309" t="s">
        <v>100</v>
      </c>
      <c r="C309" t="str">
        <f t="shared" si="4"/>
        <v>Gamma (2.07 80.2)</v>
      </c>
      <c r="D309">
        <v>288</v>
      </c>
      <c r="E309">
        <v>0.13672607713243812</v>
      </c>
    </row>
    <row r="310" spans="2:5">
      <c r="B310" t="s">
        <v>100</v>
      </c>
      <c r="C310" t="str">
        <f t="shared" si="4"/>
        <v>Gamma (2.07 80.2)</v>
      </c>
      <c r="D310">
        <v>289</v>
      </c>
      <c r="E310">
        <v>0.13542315598923382</v>
      </c>
    </row>
    <row r="311" spans="2:5">
      <c r="B311" t="s">
        <v>100</v>
      </c>
      <c r="C311" t="str">
        <f t="shared" si="4"/>
        <v>Gamma (2.07 80.2)</v>
      </c>
      <c r="D311">
        <v>290</v>
      </c>
      <c r="E311">
        <v>0.13413160684116165</v>
      </c>
    </row>
    <row r="312" spans="2:5">
      <c r="B312" t="s">
        <v>100</v>
      </c>
      <c r="C312" t="str">
        <f t="shared" si="4"/>
        <v>Gamma (2.07 80.2)</v>
      </c>
      <c r="D312">
        <v>291</v>
      </c>
      <c r="E312">
        <v>0.13285134677789345</v>
      </c>
    </row>
    <row r="313" spans="2:5">
      <c r="B313" t="s">
        <v>100</v>
      </c>
      <c r="C313" t="str">
        <f t="shared" si="4"/>
        <v>Gamma (2.07 80.2)</v>
      </c>
      <c r="D313">
        <v>292</v>
      </c>
      <c r="E313">
        <v>0.13158229321544568</v>
      </c>
    </row>
    <row r="314" spans="2:5">
      <c r="B314" t="s">
        <v>100</v>
      </c>
      <c r="C314" t="str">
        <f t="shared" si="4"/>
        <v>Gamma (2.07 80.2)</v>
      </c>
      <c r="D314">
        <v>293</v>
      </c>
      <c r="E314">
        <v>0.13032436390053559</v>
      </c>
    </row>
    <row r="315" spans="2:5">
      <c r="B315" t="s">
        <v>100</v>
      </c>
      <c r="C315" t="str">
        <f t="shared" si="4"/>
        <v>Gamma (2.07 80.2)</v>
      </c>
      <c r="D315">
        <v>294</v>
      </c>
      <c r="E315">
        <v>0.129077476914782</v>
      </c>
    </row>
    <row r="316" spans="2:5">
      <c r="B316" t="s">
        <v>100</v>
      </c>
      <c r="C316" t="str">
        <f t="shared" si="4"/>
        <v>Gamma (2.07 80.2)</v>
      </c>
      <c r="D316">
        <v>295</v>
      </c>
      <c r="E316">
        <v>0.12784155067875802</v>
      </c>
    </row>
    <row r="317" spans="2:5">
      <c r="B317" t="s">
        <v>100</v>
      </c>
      <c r="C317" t="str">
        <f t="shared" si="4"/>
        <v>Gamma (2.07 80.2)</v>
      </c>
      <c r="D317">
        <v>296</v>
      </c>
      <c r="E317">
        <v>0.12661650395589463</v>
      </c>
    </row>
    <row r="318" spans="2:5">
      <c r="B318" t="s">
        <v>100</v>
      </c>
      <c r="C318" t="str">
        <f t="shared" si="4"/>
        <v>Gamma (2.07 80.2)</v>
      </c>
      <c r="D318">
        <v>297</v>
      </c>
      <c r="E318">
        <v>0.12540225585624276</v>
      </c>
    </row>
    <row r="319" spans="2:5">
      <c r="B319" t="s">
        <v>100</v>
      </c>
      <c r="C319" t="str">
        <f t="shared" si="4"/>
        <v>Gamma (2.07 80.2)</v>
      </c>
      <c r="D319">
        <v>298</v>
      </c>
      <c r="E319">
        <v>0.12419872584009106</v>
      </c>
    </row>
    <row r="320" spans="2:5">
      <c r="B320" t="s">
        <v>100</v>
      </c>
      <c r="C320" t="str">
        <f t="shared" si="4"/>
        <v>Gamma (2.07 80.2)</v>
      </c>
      <c r="D320">
        <v>299</v>
      </c>
      <c r="E320">
        <v>0.12300583372144758</v>
      </c>
    </row>
    <row r="321" spans="2:5">
      <c r="B321" t="s">
        <v>100</v>
      </c>
      <c r="C321" t="str">
        <f t="shared" si="4"/>
        <v>Gamma (2.07 80.2)</v>
      </c>
      <c r="D321">
        <v>300</v>
      </c>
      <c r="E321">
        <v>0.12182349967138517</v>
      </c>
    </row>
  </sheetData>
  <conditionalFormatting sqref="B9">
    <cfRule type="expression" dxfId="1" priority="1" stopIfTrue="1">
      <formula>$C9="COMMENT"</formula>
    </cfRule>
  </conditionalFormatting>
  <conditionalFormatting sqref="B3:E3">
    <cfRule type="expression" dxfId="0" priority="2" stopIfTrue="1">
      <formula>$C3="COMMENT"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Advanced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dcterms:created xsi:type="dcterms:W3CDTF">2026-01-04T10:59:27Z</dcterms:created>
  <dcterms:modified xsi:type="dcterms:W3CDTF">2026-05-15T04:45:42Z</dcterms:modified>
</cp:coreProperties>
</file>