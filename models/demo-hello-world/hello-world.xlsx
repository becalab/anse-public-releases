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hello-world/"/>
    </mc:Choice>
  </mc:AlternateContent>
  <xr:revisionPtr revIDLastSave="0" documentId="13_ncr:1_{80191983-F57D-5645-AA0A-3D89A4E44650}" xr6:coauthVersionLast="47" xr6:coauthVersionMax="47" xr10:uidLastSave="{00000000-0000-0000-0000-000000000000}"/>
  <bookViews>
    <workbookView xWindow="6840" yWindow="600" windowWidth="25600" windowHeight="26880" xr2:uid="{73351A0E-E394-C94F-8AB9-3EA9DA143F24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Curves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1" l="1"/>
  <c r="C80" i="1"/>
  <c r="C81" i="1"/>
  <c r="C82" i="1"/>
  <c r="C83" i="1"/>
  <c r="C84" i="1"/>
  <c r="C85" i="1"/>
  <c r="C78" i="1"/>
  <c r="C90" i="1" s="1" a="1"/>
  <c r="C90" i="1" s="1"/>
  <c r="E3" i="2"/>
  <c r="C3" i="2"/>
  <c r="C89" i="1" a="1"/>
  <c r="C89" i="1" s="1"/>
  <c r="D85" i="1" a="1"/>
  <c r="D85" i="1" s="1"/>
  <c r="D84" i="1" a="1"/>
  <c r="D84" i="1" s="1"/>
  <c r="D83" i="1" a="1"/>
  <c r="D83" i="1" s="1"/>
  <c r="D82" i="1" a="1"/>
  <c r="D82" i="1" s="1"/>
  <c r="D81" i="1" a="1"/>
  <c r="D81" i="1" s="1"/>
  <c r="D80" i="1" a="1"/>
  <c r="D80" i="1" s="1"/>
  <c r="D79" i="1" a="1"/>
  <c r="D79" i="1" s="1"/>
  <c r="D78" i="1" a="1"/>
  <c r="D78" i="1" s="1"/>
  <c r="D74" i="1" a="1"/>
  <c r="D74" i="1" s="1"/>
  <c r="C74" i="1" a="1"/>
  <c r="C74" i="1" s="1"/>
  <c r="D73" i="1" a="1"/>
  <c r="D73" i="1" s="1"/>
  <c r="C73" i="1" a="1"/>
  <c r="C73" i="1" s="1"/>
  <c r="D72" i="1" a="1"/>
  <c r="D72" i="1" s="1"/>
  <c r="C72" i="1" a="1"/>
  <c r="C72" i="1" s="1"/>
  <c r="D71" i="1" a="1"/>
  <c r="D71" i="1" s="1"/>
  <c r="C71" i="1" a="1"/>
  <c r="C71" i="1" s="1"/>
  <c r="D70" i="1" a="1"/>
  <c r="D70" i="1" s="1"/>
  <c r="C70" i="1" a="1"/>
  <c r="C70" i="1" s="1"/>
  <c r="D69" i="1" a="1"/>
  <c r="D69" i="1" s="1"/>
  <c r="C69" i="1" a="1"/>
  <c r="C69" i="1" s="1"/>
  <c r="D67" i="1" a="1"/>
  <c r="D67" i="1" s="1"/>
  <c r="C67" i="1" a="1"/>
  <c r="C67" i="1" s="1"/>
  <c r="D66" i="1" a="1"/>
  <c r="D66" i="1" s="1"/>
  <c r="C66" i="1" a="1"/>
  <c r="C66" i="1" s="1"/>
  <c r="D65" i="1" a="1"/>
  <c r="D65" i="1" s="1"/>
  <c r="C65" i="1" a="1"/>
  <c r="C65" i="1" s="1"/>
  <c r="D63" i="1" a="1"/>
  <c r="D63" i="1" s="1"/>
  <c r="C63" i="1" a="1"/>
  <c r="C63" i="1" s="1"/>
  <c r="D62" i="1" a="1"/>
  <c r="D62" i="1" s="1"/>
  <c r="C62" i="1" a="1"/>
  <c r="C62" i="1" s="1"/>
  <c r="D61" i="1" a="1"/>
  <c r="D61" i="1" s="1"/>
  <c r="C61" i="1" a="1"/>
  <c r="C61" i="1" s="1"/>
  <c r="D59" i="1" a="1"/>
  <c r="D59" i="1" s="1"/>
  <c r="C59" i="1" a="1"/>
  <c r="C59" i="1" s="1"/>
  <c r="D58" i="1" a="1"/>
  <c r="D58" i="1" s="1"/>
  <c r="C58" i="1" a="1"/>
  <c r="C58" i="1" s="1"/>
  <c r="D57" i="1" a="1"/>
  <c r="D57" i="1" s="1"/>
  <c r="C57" i="1" a="1"/>
  <c r="C57" i="1" s="1"/>
  <c r="D55" i="1" a="1"/>
  <c r="D55" i="1" s="1"/>
  <c r="C55" i="1" a="1"/>
  <c r="C55" i="1" s="1"/>
  <c r="D54" i="1" a="1"/>
  <c r="D54" i="1" s="1"/>
  <c r="C54" i="1" a="1"/>
  <c r="C54" i="1" s="1"/>
  <c r="D53" i="1" a="1"/>
  <c r="D53" i="1" s="1"/>
  <c r="C53" i="1" a="1"/>
  <c r="C53" i="1" s="1"/>
  <c r="D51" i="1" a="1"/>
  <c r="D51" i="1" s="1"/>
  <c r="C51" i="1" a="1"/>
  <c r="C51" i="1" s="1"/>
  <c r="D50" i="1" a="1"/>
  <c r="D50" i="1" s="1"/>
  <c r="C50" i="1" a="1"/>
  <c r="C50" i="1" s="1"/>
  <c r="D49" i="1" a="1"/>
  <c r="D49" i="1" s="1"/>
  <c r="C49" i="1" a="1"/>
  <c r="C49" i="1" s="1"/>
  <c r="D47" i="1" a="1"/>
  <c r="D47" i="1" s="1"/>
  <c r="C47" i="1" a="1"/>
  <c r="C47" i="1" s="1"/>
  <c r="D46" i="1" a="1"/>
  <c r="D46" i="1" s="1"/>
  <c r="C46" i="1" a="1"/>
  <c r="C46" i="1" s="1"/>
  <c r="D45" i="1" a="1"/>
  <c r="D45" i="1" s="1"/>
  <c r="C45" i="1" a="1"/>
  <c r="C45" i="1" s="1"/>
  <c r="D43" i="1" a="1"/>
  <c r="D43" i="1" s="1"/>
  <c r="C43" i="1" a="1"/>
  <c r="C43" i="1" s="1"/>
  <c r="D42" i="1" a="1"/>
  <c r="D42" i="1" s="1"/>
  <c r="C42" i="1" a="1"/>
  <c r="C42" i="1" s="1"/>
  <c r="D41" i="1" a="1"/>
  <c r="D41" i="1" s="1"/>
  <c r="C41" i="1" a="1"/>
  <c r="C41" i="1" s="1"/>
  <c r="C95" i="1" l="1" a="1"/>
  <c r="C95" i="1" s="1"/>
  <c r="C96" i="1" a="1"/>
  <c r="C96" i="1" s="1"/>
  <c r="C101" i="1" a="1"/>
  <c r="C101" i="1" s="1"/>
  <c r="C102" i="1" a="1"/>
  <c r="C102" i="1" s="1"/>
  <c r="C112" i="1" a="1"/>
  <c r="C112" i="1" s="1"/>
  <c r="C111" i="1" a="1"/>
  <c r="C111" i="1" s="1"/>
  <c r="C110" i="1" a="1"/>
  <c r="C110" i="1" s="1"/>
  <c r="C99" i="1" a="1"/>
  <c r="C99" i="1" s="1"/>
  <c r="C98" i="1" a="1"/>
  <c r="C98" i="1" s="1"/>
  <c r="C105" i="1" a="1"/>
  <c r="C105" i="1" s="1"/>
  <c r="C104" i="1" a="1"/>
  <c r="C104" i="1" s="1"/>
  <c r="C107" i="1" a="1"/>
  <c r="C107" i="1" s="1"/>
  <c r="C108" i="1" a="1"/>
  <c r="C108" i="1" s="1"/>
  <c r="C93" i="1" a="1"/>
  <c r="C93" i="1" s="1"/>
  <c r="C92" i="1" a="1"/>
  <c r="C9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  <author>tc={FAB04036-A4D3-554A-816D-66D8F862EAE5}</author>
  </authors>
  <commentList>
    <comment ref="D1" authorId="0" shapeId="0" xr:uid="{DE5AEED7-5306-0F41-A9F6-E09723C0708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" authorId="1" shapeId="0" xr:uid="{3CFD2D9D-03A4-3D43-B752-639C8A9DCDB2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H1" authorId="1" shapeId="0" xr:uid="{AE144688-A2B4-F142-9E42-AB258D32443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I1" authorId="1" shapeId="0" xr:uid="{10548B0F-45C8-2B40-81CC-02D44A03EDB8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K1" authorId="1" shapeId="0" xr:uid="{79A1913B-90BC-5643-9773-44EE0531D51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D26" authorId="0" shapeId="0" xr:uid="{0F0EF91A-6A2B-AF42-B0CE-76F64BCDFCAD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E26" authorId="0" shapeId="0" xr:uid="{F5AA7D95-F276-074C-9ED4-8C923FE06A2E}">
      <text>
        <r>
          <rPr>
            <sz val="11"/>
            <color indexed="8"/>
            <rFont val="Helvetica Neue"/>
            <family val="2"/>
          </rPr>
          <t>Magnan, Michael:
If unknown/undefined, enter "0"</t>
        </r>
      </text>
    </comment>
    <comment ref="F26" authorId="0" shapeId="0" xr:uid="{69409D6C-465E-1B44-BBA3-F285EDAE32E0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G26" authorId="0" shapeId="0" xr:uid="{E29E9985-673B-8944-B201-8155952DC7C9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J26" authorId="0" shapeId="0" xr:uid="{507231BE-77FA-294B-888E-FDFACCB62F22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This fiield's feature not currently supported</t>
        </r>
      </text>
    </comment>
    <comment ref="E39" authorId="1" shapeId="0" xr:uid="{9A8DBFB5-A8C4-5742-93BF-DAF4DC097001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>Boolean field; valid values are TRUE, FALSE, 1, 0</t>
        </r>
      </text>
    </comment>
    <comment ref="F39" authorId="0" shapeId="0" xr:uid="{9A461DFD-27AB-AC40-9F9F-FF5898DF746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 For EVENT_POOL that is not source of carbon for the given Event, Sequence Number corresponds to an ACTION_PARAMETER_OUT component with the same sequence number</t>
        </r>
      </text>
    </comment>
    <comment ref="G39" authorId="0" shapeId="0" xr:uid="{790CC2B7-7F78-1E49-8A29-02AD544379DB}">
      <text>
        <r>
          <rPr>
            <sz val="11"/>
            <color indexed="8"/>
            <rFont val="Helvetica Neue"/>
            <family val="2"/>
          </rPr>
          <t>Magnan, Michael:
Boolean field; valid values are TRUE, FALSE, 1, 0.
If left empty, default is false.</t>
        </r>
      </text>
    </comment>
    <comment ref="D76" authorId="0" shapeId="0" xr:uid="{CB8A6D56-690F-E44F-ABA7-045BB1E9BA3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name of the EVENT for which the ACTION_PARAMETER_SET will be relevant</t>
        </r>
      </text>
    </comment>
    <comment ref="E76" authorId="0" shapeId="0" xr:uid="{0770F6B7-9594-4340-B75D-00EAD4679E04}">
      <text>
        <r>
          <rPr>
            <sz val="11"/>
            <color indexed="8"/>
            <rFont val="Helvetica Neue"/>
            <family val="2"/>
          </rPr>
          <t>Magnan, Michael:
If unknown, enter "UNIVERSE"</t>
        </r>
      </text>
    </comment>
    <comment ref="F76" authorId="0" shapeId="0" xr:uid="{1B7957D1-F128-AE48-86FE-5A39ACD0DF71}">
      <text>
        <r>
          <rPr>
            <sz val="11"/>
            <color indexed="8"/>
            <rFont val="Helvetica Neue"/>
            <family val="2"/>
          </rPr>
          <t>Magnan, Michael:
Integer field</t>
        </r>
      </text>
    </comment>
    <comment ref="G76" authorId="0" shapeId="0" xr:uid="{72DD9D24-3A22-B045-B80B-BE3842B8A588}">
      <text>
        <r>
          <rPr>
            <sz val="11"/>
            <color indexed="8"/>
            <rFont val="Helvetica Neue"/>
            <family val="2"/>
          </rPr>
          <t>Magnan, Michael:
String field for recording notes, such as the background reference source for the parameter</t>
        </r>
      </text>
    </comment>
    <comment ref="D87" authorId="0" shapeId="0" xr:uid="{00E1BBAA-B86A-8842-87A5-8788FA382A41}">
      <text>
        <r>
          <rPr>
            <sz val="11"/>
            <color indexed="8"/>
            <rFont val="Helvetica Neue"/>
            <family val="2"/>
          </rPr>
          <t>Magnan, Michael:
Integer field.</t>
        </r>
      </text>
    </comment>
    <comment ref="G87" authorId="2" shapeId="0" xr:uid="{FAB04036-A4D3-554A-816D-66D8F862EA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15" authorId="0" shapeId="0" xr:uid="{CC7F5D1D-B34F-1646-BA4F-A18CC3CBED25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EA202CC9-29F3-D843-B152-881A2002777E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  <comment ref="D1" authorId="0" shapeId="0" xr:uid="{1C18341E-17CA-F744-B49C-E9ECBCC81AB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E1" authorId="0" shapeId="0" xr:uid="{F0CC4848-5E49-0041-B3D5-0A6D38AC9A79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G1" authorId="0" shapeId="0" xr:uid="{0D59C2D4-07A0-9147-B057-CE565E9CA9C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<sst xmlns="http://schemas.openxmlformats.org/spreadsheetml/2006/main" count="251" uniqueCount="128">
  <si>
    <t>COMMENT</t>
  </si>
  <si>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</si>
  <si>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</si>
  <si>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</si>
  <si>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</si>
  <si>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</si>
  <si>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</si>
  <si>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</si>
  <si>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</si>
  <si>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</si>
  <si>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</si>
  <si>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</si>
  <si>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</si>
  <si>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Roundwood Harvested</t>
  </si>
  <si>
    <t>Roundwood Consumed</t>
  </si>
  <si>
    <t>Roundwood Exported</t>
  </si>
  <si>
    <t>Sawmill</t>
  </si>
  <si>
    <t>Sawnwood Produced</t>
  </si>
  <si>
    <t>Sawnwood Comsumed</t>
  </si>
  <si>
    <t>Panel mill</t>
  </si>
  <si>
    <t>Panel Produced</t>
  </si>
  <si>
    <t>Panel Consumed</t>
  </si>
  <si>
    <t>Milling residues</t>
  </si>
  <si>
    <t>Paper and Paperboard Produced</t>
  </si>
  <si>
    <t>Paper and Paperboard Consumed</t>
  </si>
  <si>
    <t>Products Exported</t>
  </si>
  <si>
    <t>CO2</t>
  </si>
  <si>
    <t>CH4</t>
  </si>
  <si>
    <t>Other gases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</si>
  <si>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</si>
  <si>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</si>
  <si>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</si>
  <si>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</si>
  <si>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</si>
  <si>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</si>
  <si>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</si>
  <si>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</si>
  <si>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</si>
  <si>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Roundwood Trading</t>
  </si>
  <si>
    <t>Roundwood value-adding</t>
  </si>
  <si>
    <t>Sawnwood manufacturing</t>
  </si>
  <si>
    <t>Panel manufacturing</t>
  </si>
  <si>
    <t>Sawnwood Trading</t>
  </si>
  <si>
    <t>Panel Trading</t>
  </si>
  <si>
    <t>Paper and Paperboard Trading</t>
  </si>
  <si>
    <t>End of Life Processing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</si>
  <si>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</si>
  <si>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</si>
  <si>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</si>
  <si>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</si>
  <si>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</si>
  <si>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</si>
  <si>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</si>
  <si>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</si>
  <si>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</si>
  <si>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</si>
  <si>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</si>
  <si>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</si>
  <si>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</si>
  <si>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</si>
  <si>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</si>
  <si>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UNIVERSE</t>
  </si>
  <si>
    <t>Keyword: ACTION_PARAMETER_OUT</t>
  </si>
  <si>
    <t>Action_Parameter_Set(Name)</t>
  </si>
  <si>
    <t>Proportion</t>
  </si>
  <si>
    <t>New Physical State Name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</si>
  <si>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</si>
  <si>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</si>
  <si>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</si>
  <si>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</si>
  <si>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</si>
  <si>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</si>
  <si>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</si>
  <si>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</si>
  <si>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Empty Field</t>
  </si>
  <si>
    <t>INITIAL_CMO</t>
  </si>
  <si>
    <t>IPCC default-paper</t>
  </si>
  <si>
    <t>IPCC default-sawnwood</t>
  </si>
  <si>
    <t>IPCC default-panels</t>
  </si>
  <si>
    <t>Keyword: PHYSICAL_STATE</t>
  </si>
  <si>
    <t xml:space="preserve">Description </t>
  </si>
  <si>
    <t>PHYSICAL_STATE</t>
  </si>
  <si>
    <t>Roundwood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</si>
  <si>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</si>
  <si>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</si>
  <si>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</si>
  <si>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</si>
  <si>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</si>
  <si>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</si>
  <si>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</si>
  <si>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</si>
  <si>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</si>
  <si>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</si>
  <si>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</si>
  <si>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</si>
  <si>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</si>
  <si>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</si>
  <si>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</si>
  <si>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</si>
  <si>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ASU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</si>
  <si>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</si>
  <si>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</si>
  <si>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</si>
  <si>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</si>
  <si>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</si>
  <si>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</si>
  <si>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</si>
  <si>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</si>
  <si>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ASU_GROUP_MEMBER</t>
  </si>
  <si>
    <t>Tag(Name)</t>
  </si>
  <si>
    <t>GIS_Id</t>
  </si>
  <si>
    <t>Includes: ASU_Group(Name)</t>
  </si>
  <si>
    <t>Canada</t>
  </si>
  <si>
    <t>AB</t>
  </si>
  <si>
    <t>BC</t>
  </si>
  <si>
    <t>Keyword: CURVE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</si>
  <si>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</si>
  <si>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</si>
  <si>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</si>
  <si>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</si>
  <si>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</si>
  <si>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</si>
  <si>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</si>
  <si>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</si>
  <si>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Usage</t>
  </si>
  <si>
    <t>Target</t>
  </si>
  <si>
    <t>Physical State Rule</t>
  </si>
  <si>
    <t>Species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</si>
</sst>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HelveticaNeue"/>
      <family val="2"/>
    </font>
    <font>
      <sz val="11"/>
      <color indexed="8"/>
      <name val="Helvetica Neue"/>
      <family val="2"/>
    </font>
    <font>
      <sz val="11"/>
      <color rgb="FF000000"/>
      <name val="Helvetica Neue"/>
      <family val="2"/>
    </font>
    <font>
      <b/>
      <sz val="12"/>
      <color theme="1"/>
      <name val="HelveticaNeue"/>
    </font>
    <font>
      <sz val="12"/>
      <color theme="1"/>
      <name val="HelveticaNeue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0" fillId="2" borderId="0" xfId="0" applyFill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7D4B715D-154F-2A43-AC0A-9588FB54B730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7" personId="{7D4B715D-154F-2A43-AC0A-9588FB54B730}" id="{FAB04036-A4D3-554A-816D-66D8F862EAE5}">
    <text xml:space="preserve">The physical state into which the C mass is transformed. Must supply a distinct Physical State here (not Physical State Group)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300-5F44-C54A-ADD4-2A504DCCAD49}">
  <dimension ref="B1:L112"/>
  <sheetViews>
    <sheetView tabSelected="1" topLeftCell="A49" workbookViewId="0">
      <selection activeCell="F87" sqref="F87:I87"/>
    </sheetView>
  </sheetViews>
  <sheetFormatPr baseColWidth="10" defaultColWidth="7.5703125" defaultRowHeight="16" customHeight="1"/>
  <cols>
    <col min="1" max="1" width="12.57031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2:12" ht="16" customHeight="1">
      <c r="B3" t="s">
        <v>12</v>
      </c>
      <c r="C3" t="s">
        <v>13</v>
      </c>
      <c r="D3">
        <v>0</v>
      </c>
      <c r="J3" t="b">
        <v>1</v>
      </c>
    </row>
    <row r="4" spans="2:12" ht="16" customHeight="1">
      <c r="B4" t="s">
        <v>12</v>
      </c>
      <c r="C4" t="s">
        <v>14</v>
      </c>
      <c r="D4">
        <v>0</v>
      </c>
      <c r="J4" t="b">
        <v>1</v>
      </c>
    </row>
    <row r="5" spans="2:12" ht="16" customHeight="1">
      <c r="B5" t="s">
        <v>12</v>
      </c>
      <c r="C5" t="s">
        <v>15</v>
      </c>
      <c r="D5">
        <v>0</v>
      </c>
      <c r="J5" t="b">
        <v>1</v>
      </c>
    </row>
    <row r="7" spans="2:12" ht="16" customHeight="1">
      <c r="B7" t="s">
        <v>12</v>
      </c>
      <c r="C7" t="s">
        <v>16</v>
      </c>
      <c r="D7">
        <v>0</v>
      </c>
    </row>
    <row r="8" spans="2:12" ht="16" customHeight="1">
      <c r="B8" t="s">
        <v>12</v>
      </c>
      <c r="C8" t="s">
        <v>17</v>
      </c>
      <c r="D8">
        <v>0</v>
      </c>
    </row>
    <row r="9" spans="2:12" ht="16" customHeight="1">
      <c r="B9" t="s">
        <v>12</v>
      </c>
      <c r="C9" t="s">
        <v>18</v>
      </c>
      <c r="D9">
        <v>0</v>
      </c>
      <c r="E9" t="s">
        <v>77</v>
      </c>
    </row>
    <row r="11" spans="2:12" ht="16" customHeight="1">
      <c r="B11" t="s">
        <v>12</v>
      </c>
      <c r="C11" t="s">
        <v>19</v>
      </c>
      <c r="D11">
        <v>0</v>
      </c>
    </row>
    <row r="12" spans="2:12" ht="16" customHeight="1">
      <c r="B12" t="s">
        <v>12</v>
      </c>
      <c r="C12" t="s">
        <v>20</v>
      </c>
      <c r="D12">
        <v>0</v>
      </c>
    </row>
    <row r="13" spans="2:12" ht="16" customHeight="1">
      <c r="B13" t="s">
        <v>12</v>
      </c>
      <c r="C13" t="s">
        <v>21</v>
      </c>
      <c r="D13">
        <v>0</v>
      </c>
      <c r="E13" t="s">
        <v>78</v>
      </c>
    </row>
    <row r="15" spans="2:12" ht="16" customHeight="1">
      <c r="B15" t="s">
        <v>12</v>
      </c>
      <c r="C15" t="s">
        <v>22</v>
      </c>
      <c r="D15">
        <v>0</v>
      </c>
    </row>
    <row r="17" spans="2:12" ht="16" customHeight="1">
      <c r="B17" t="s">
        <v>12</v>
      </c>
      <c r="C17" t="s">
        <v>23</v>
      </c>
      <c r="D17">
        <v>0</v>
      </c>
    </row>
    <row r="18" spans="2:12" ht="16" customHeight="1">
      <c r="B18" t="s">
        <v>12</v>
      </c>
      <c r="C18" t="s">
        <v>24</v>
      </c>
      <c r="D18">
        <v>0</v>
      </c>
      <c r="E18" t="s">
        <v>76</v>
      </c>
    </row>
    <row r="20" spans="2:12" ht="16" customHeight="1">
      <c r="B20" t="s">
        <v>12</v>
      </c>
      <c r="C20" t="s">
        <v>25</v>
      </c>
      <c r="D20">
        <v>0</v>
      </c>
    </row>
    <row r="22" spans="2:12" ht="16" customHeight="1">
      <c r="B22" t="s">
        <v>12</v>
      </c>
      <c r="C22" t="s">
        <v>26</v>
      </c>
      <c r="D22">
        <v>0</v>
      </c>
    </row>
    <row r="23" spans="2:12" ht="16" customHeight="1">
      <c r="B23" t="s">
        <v>12</v>
      </c>
      <c r="C23" t="s">
        <v>27</v>
      </c>
      <c r="D23">
        <v>0</v>
      </c>
    </row>
    <row r="24" spans="2:12" ht="16" customHeight="1">
      <c r="B24" t="s">
        <v>12</v>
      </c>
      <c r="C24" t="s">
        <v>28</v>
      </c>
      <c r="D24">
        <v>0</v>
      </c>
    </row>
    <row r="26" spans="2:12" s="3" customFormat="1" ht="16" customHeight="1">
      <c r="B26" s="2" t="s">
        <v>29</v>
      </c>
      <c r="C26" s="2" t="s">
        <v>2</v>
      </c>
      <c r="D26" s="2" t="s">
        <v>30</v>
      </c>
      <c r="E26" s="2" t="s">
        <v>3</v>
      </c>
      <c r="F26" s="3" t="s">
        <v>31</v>
      </c>
      <c r="G26" s="3" t="s">
        <v>32</v>
      </c>
      <c r="H26" s="3" t="s">
        <v>33</v>
      </c>
      <c r="I26" s="3" t="s">
        <v>34</v>
      </c>
      <c r="J26" s="3" t="s">
        <v>35</v>
      </c>
      <c r="K26" s="3" t="s">
        <v>36</v>
      </c>
      <c r="L26" s="3" t="s">
        <v>11</v>
      </c>
    </row>
    <row r="28" spans="2:12" ht="16" customHeight="1">
      <c r="B28" t="s">
        <v>37</v>
      </c>
      <c r="C28" t="s">
        <v>38</v>
      </c>
      <c r="D28">
        <v>0</v>
      </c>
      <c r="E28">
        <v>0</v>
      </c>
    </row>
    <row r="29" spans="2:12" ht="16" customHeight="1">
      <c r="B29" t="s">
        <v>37</v>
      </c>
      <c r="C29" t="s">
        <v>39</v>
      </c>
      <c r="D29">
        <v>0</v>
      </c>
      <c r="E29">
        <v>0</v>
      </c>
    </row>
    <row r="30" spans="2:12" ht="16" customHeight="1">
      <c r="B30" t="s">
        <v>37</v>
      </c>
      <c r="C30" t="s">
        <v>40</v>
      </c>
      <c r="D30">
        <v>0</v>
      </c>
      <c r="E30">
        <v>0</v>
      </c>
    </row>
    <row r="31" spans="2:12" ht="16" customHeight="1">
      <c r="B31" t="s">
        <v>37</v>
      </c>
      <c r="C31" t="s">
        <v>41</v>
      </c>
      <c r="D31">
        <v>0</v>
      </c>
      <c r="E31">
        <v>0</v>
      </c>
    </row>
    <row r="32" spans="2:12" ht="16" customHeight="1">
      <c r="B32" t="s">
        <v>37</v>
      </c>
      <c r="C32" t="s">
        <v>42</v>
      </c>
      <c r="D32">
        <v>0</v>
      </c>
      <c r="E32">
        <v>0</v>
      </c>
    </row>
    <row r="33" spans="2:7" ht="16" customHeight="1">
      <c r="B33" t="s">
        <v>37</v>
      </c>
      <c r="C33" t="s">
        <v>43</v>
      </c>
      <c r="D33">
        <v>0</v>
      </c>
      <c r="E33">
        <v>0</v>
      </c>
    </row>
    <row r="34" spans="2:7" ht="16" customHeight="1">
      <c r="B34" t="s">
        <v>37</v>
      </c>
      <c r="C34" t="s">
        <v>44</v>
      </c>
      <c r="D34">
        <v>0</v>
      </c>
      <c r="E34">
        <v>0</v>
      </c>
    </row>
    <row r="35" spans="2:7" ht="16" customHeight="1">
      <c r="B35" t="s">
        <v>37</v>
      </c>
      <c r="C35" t="s">
        <v>45</v>
      </c>
      <c r="D35">
        <v>0</v>
      </c>
      <c r="E35">
        <v>0</v>
      </c>
    </row>
    <row r="37" spans="2:7" s="3" customFormat="1" ht="16" customHeight="1">
      <c r="B37" s="2" t="s">
        <v>46</v>
      </c>
      <c r="C37" s="2" t="s">
        <v>47</v>
      </c>
    </row>
    <row r="39" spans="2:7" s="3" customFormat="1" ht="16" customHeight="1">
      <c r="B39" s="2" t="s">
        <v>48</v>
      </c>
      <c r="C39" s="2" t="s">
        <v>49</v>
      </c>
      <c r="D39" s="2" t="s">
        <v>50</v>
      </c>
      <c r="E39" s="2" t="s">
        <v>51</v>
      </c>
      <c r="F39" s="2" t="s">
        <v>52</v>
      </c>
      <c r="G39" s="3" t="s">
        <v>53</v>
      </c>
    </row>
    <row r="41" spans="2:7" ht="16" customHeight="1">
      <c r="B41" t="s">
        <v>54</v>
      </c>
      <c r="C41" t="str" cm="1">
        <f t="array" ref="C41">$C$28</f>
        <v>Roundwood Trading</v>
      </c>
      <c r="D41" t="str" cm="1">
        <f t="array" ref="D41">$C3</f>
        <v>Roundwood Harvested</v>
      </c>
      <c r="E41" t="b">
        <v>1</v>
      </c>
      <c r="F41">
        <v>1</v>
      </c>
    </row>
    <row r="42" spans="2:7" ht="16" customHeight="1">
      <c r="B42" t="s">
        <v>54</v>
      </c>
      <c r="C42" t="str" cm="1">
        <f t="array" ref="C42">$C$28</f>
        <v>Roundwood Trading</v>
      </c>
      <c r="D42" t="str" cm="1">
        <f t="array" ref="D42">C4</f>
        <v>Roundwood Consumed</v>
      </c>
      <c r="E42" t="b">
        <v>0</v>
      </c>
      <c r="F42">
        <v>1</v>
      </c>
    </row>
    <row r="43" spans="2:7" ht="16" customHeight="1">
      <c r="B43" t="s">
        <v>54</v>
      </c>
      <c r="C43" t="str" cm="1">
        <f t="array" ref="C43">$C$28</f>
        <v>Roundwood Trading</v>
      </c>
      <c r="D43" t="str" cm="1">
        <f t="array" ref="D43">C5</f>
        <v>Roundwood Exported</v>
      </c>
      <c r="E43" t="b">
        <v>0</v>
      </c>
      <c r="F43">
        <v>2</v>
      </c>
    </row>
    <row r="45" spans="2:7" ht="16" customHeight="1">
      <c r="B45" t="s">
        <v>54</v>
      </c>
      <c r="C45" t="str" cm="1">
        <f t="array" ref="C45">$C$29</f>
        <v>Roundwood value-adding</v>
      </c>
      <c r="D45" t="str" cm="1">
        <f t="array" ref="D45">C4</f>
        <v>Roundwood Consumed</v>
      </c>
      <c r="E45" t="b">
        <v>1</v>
      </c>
      <c r="F45">
        <v>1</v>
      </c>
    </row>
    <row r="46" spans="2:7" ht="16" customHeight="1">
      <c r="B46" t="s">
        <v>54</v>
      </c>
      <c r="C46" t="str" cm="1">
        <f t="array" ref="C46">$C$29</f>
        <v>Roundwood value-adding</v>
      </c>
      <c r="D46" t="str" cm="1">
        <f t="array" ref="D46">C7</f>
        <v>Sawmill</v>
      </c>
      <c r="E46" t="b">
        <v>0</v>
      </c>
      <c r="F46">
        <v>1</v>
      </c>
    </row>
    <row r="47" spans="2:7" ht="16" customHeight="1">
      <c r="B47" t="s">
        <v>54</v>
      </c>
      <c r="C47" t="str" cm="1">
        <f t="array" ref="C47">$C$29</f>
        <v>Roundwood value-adding</v>
      </c>
      <c r="D47" t="str" cm="1">
        <f t="array" ref="D47">C11</f>
        <v>Panel mill</v>
      </c>
      <c r="E47" t="b">
        <v>0</v>
      </c>
      <c r="F47">
        <v>2</v>
      </c>
    </row>
    <row r="49" spans="2:6" ht="16" customHeight="1">
      <c r="B49" t="s">
        <v>54</v>
      </c>
      <c r="C49" t="str" cm="1">
        <f t="array" ref="C49">$C$30</f>
        <v>Sawnwood manufacturing</v>
      </c>
      <c r="D49" t="str" cm="1">
        <f t="array" ref="D49">C7</f>
        <v>Sawmill</v>
      </c>
      <c r="E49" t="b">
        <v>1</v>
      </c>
      <c r="F49">
        <v>1</v>
      </c>
    </row>
    <row r="50" spans="2:6" ht="16" customHeight="1">
      <c r="B50" t="s">
        <v>54</v>
      </c>
      <c r="C50" t="str" cm="1">
        <f t="array" ref="C50">$C$30</f>
        <v>Sawnwood manufacturing</v>
      </c>
      <c r="D50" t="str" cm="1">
        <f t="array" ref="D50">C8</f>
        <v>Sawnwood Produced</v>
      </c>
      <c r="E50" t="b">
        <v>0</v>
      </c>
      <c r="F50">
        <v>1</v>
      </c>
    </row>
    <row r="51" spans="2:6" ht="16" customHeight="1">
      <c r="B51" t="s">
        <v>54</v>
      </c>
      <c r="C51" t="str" cm="1">
        <f t="array" ref="C51">$C$30</f>
        <v>Sawnwood manufacturing</v>
      </c>
      <c r="D51" t="str" cm="1">
        <f t="array" ref="D51">C15</f>
        <v>Milling residues</v>
      </c>
      <c r="E51" t="b">
        <v>0</v>
      </c>
      <c r="F51">
        <v>2</v>
      </c>
    </row>
    <row r="53" spans="2:6" ht="16" customHeight="1">
      <c r="B53" t="s">
        <v>54</v>
      </c>
      <c r="C53" t="str" cm="1">
        <f t="array" ref="C53">$C$31</f>
        <v>Panel manufacturing</v>
      </c>
      <c r="D53" t="str" cm="1">
        <f t="array" ref="D53">C11</f>
        <v>Panel mill</v>
      </c>
      <c r="E53" t="b">
        <v>1</v>
      </c>
      <c r="F53">
        <v>1</v>
      </c>
    </row>
    <row r="54" spans="2:6" ht="16" customHeight="1">
      <c r="B54" t="s">
        <v>54</v>
      </c>
      <c r="C54" t="str" cm="1">
        <f t="array" ref="C54">$C$31</f>
        <v>Panel manufacturing</v>
      </c>
      <c r="D54" t="str" cm="1">
        <f t="array" ref="D54">C12</f>
        <v>Panel Produced</v>
      </c>
      <c r="E54" t="b">
        <v>0</v>
      </c>
      <c r="F54">
        <v>1</v>
      </c>
    </row>
    <row r="55" spans="2:6" ht="16" customHeight="1">
      <c r="B55" t="s">
        <v>54</v>
      </c>
      <c r="C55" t="str" cm="1">
        <f t="array" ref="C55">$C$31</f>
        <v>Panel manufacturing</v>
      </c>
      <c r="D55" t="str" cm="1">
        <f t="array" ref="D55">C15</f>
        <v>Milling residues</v>
      </c>
      <c r="E55" t="b">
        <v>0</v>
      </c>
      <c r="F55">
        <v>2</v>
      </c>
    </row>
    <row r="57" spans="2:6" ht="16" customHeight="1">
      <c r="B57" t="s">
        <v>54</v>
      </c>
      <c r="C57" t="str" cm="1">
        <f t="array" ref="C57">$C$32</f>
        <v>Sawnwood Trading</v>
      </c>
      <c r="D57" t="str" cm="1">
        <f t="array" ref="D57">C8</f>
        <v>Sawnwood Produced</v>
      </c>
      <c r="E57" t="b">
        <v>1</v>
      </c>
      <c r="F57">
        <v>1</v>
      </c>
    </row>
    <row r="58" spans="2:6" ht="16" customHeight="1">
      <c r="B58" t="s">
        <v>54</v>
      </c>
      <c r="C58" t="str" cm="1">
        <f t="array" ref="C58">$C$32</f>
        <v>Sawnwood Trading</v>
      </c>
      <c r="D58" t="str" cm="1">
        <f t="array" ref="D58">C9</f>
        <v>Sawnwood Comsumed</v>
      </c>
      <c r="E58" t="b">
        <v>0</v>
      </c>
      <c r="F58">
        <v>1</v>
      </c>
    </row>
    <row r="59" spans="2:6" ht="16" customHeight="1">
      <c r="B59" t="s">
        <v>54</v>
      </c>
      <c r="C59" t="str" cm="1">
        <f t="array" ref="C59">$C$32</f>
        <v>Sawnwood Trading</v>
      </c>
      <c r="D59" t="str" cm="1">
        <f t="array" ref="D59">C20</f>
        <v>Products Exported</v>
      </c>
      <c r="E59" t="b">
        <v>0</v>
      </c>
      <c r="F59">
        <v>2</v>
      </c>
    </row>
    <row r="61" spans="2:6" ht="16" customHeight="1">
      <c r="B61" t="s">
        <v>54</v>
      </c>
      <c r="C61" t="str" cm="1">
        <f t="array" ref="C61">$C$33</f>
        <v>Panel Trading</v>
      </c>
      <c r="D61" t="str" cm="1">
        <f t="array" ref="D61">C12</f>
        <v>Panel Produced</v>
      </c>
      <c r="E61" t="b">
        <v>1</v>
      </c>
      <c r="F61">
        <v>1</v>
      </c>
    </row>
    <row r="62" spans="2:6" ht="16" customHeight="1">
      <c r="B62" t="s">
        <v>54</v>
      </c>
      <c r="C62" t="str" cm="1">
        <f t="array" ref="C62">$C$33</f>
        <v>Panel Trading</v>
      </c>
      <c r="D62" t="str" cm="1">
        <f t="array" ref="D62">C13</f>
        <v>Panel Consumed</v>
      </c>
      <c r="E62" t="b">
        <v>0</v>
      </c>
      <c r="F62">
        <v>1</v>
      </c>
    </row>
    <row r="63" spans="2:6" ht="16" customHeight="1">
      <c r="B63" t="s">
        <v>54</v>
      </c>
      <c r="C63" t="str" cm="1">
        <f t="array" ref="C63">$C$33</f>
        <v>Panel Trading</v>
      </c>
      <c r="D63" t="str" cm="1">
        <f t="array" ref="D63">C20</f>
        <v>Products Exported</v>
      </c>
      <c r="E63" t="b">
        <v>0</v>
      </c>
      <c r="F63">
        <v>2</v>
      </c>
    </row>
    <row r="65" spans="2:8" ht="16" customHeight="1">
      <c r="B65" t="s">
        <v>54</v>
      </c>
      <c r="C65" t="str" cm="1">
        <f t="array" ref="C65">$C$34</f>
        <v>Paper and Paperboard Trading</v>
      </c>
      <c r="D65" t="str" cm="1">
        <f t="array" ref="D65">C17</f>
        <v>Paper and Paperboard Produced</v>
      </c>
      <c r="E65" t="b">
        <v>1</v>
      </c>
      <c r="F65">
        <v>1</v>
      </c>
    </row>
    <row r="66" spans="2:8" ht="16" customHeight="1">
      <c r="B66" t="s">
        <v>54</v>
      </c>
      <c r="C66" t="str" cm="1">
        <f t="array" ref="C66">$C$34</f>
        <v>Paper and Paperboard Trading</v>
      </c>
      <c r="D66" t="str" cm="1">
        <f t="array" ref="D66">C18</f>
        <v>Paper and Paperboard Consumed</v>
      </c>
      <c r="E66" t="b">
        <v>0</v>
      </c>
      <c r="F66">
        <v>1</v>
      </c>
    </row>
    <row r="67" spans="2:8" ht="16" customHeight="1">
      <c r="B67" t="s">
        <v>54</v>
      </c>
      <c r="C67" t="str" cm="1">
        <f t="array" ref="C67">$C$34</f>
        <v>Paper and Paperboard Trading</v>
      </c>
      <c r="D67" t="str" cm="1">
        <f t="array" ref="D67">C20</f>
        <v>Products Exported</v>
      </c>
      <c r="E67" t="b">
        <v>0</v>
      </c>
      <c r="F67">
        <v>2</v>
      </c>
    </row>
    <row r="69" spans="2:8" ht="16" customHeight="1">
      <c r="B69" t="s">
        <v>54</v>
      </c>
      <c r="C69" t="str" cm="1">
        <f t="array" ref="C69">$C$35</f>
        <v>End of Life Processing</v>
      </c>
      <c r="D69" t="str" cm="1">
        <f t="array" ref="D69">C9</f>
        <v>Sawnwood Comsumed</v>
      </c>
      <c r="E69" t="b">
        <v>1</v>
      </c>
      <c r="F69">
        <v>1</v>
      </c>
    </row>
    <row r="70" spans="2:8" ht="16" customHeight="1">
      <c r="B70" t="s">
        <v>54</v>
      </c>
      <c r="C70" t="str" cm="1">
        <f t="array" ref="C70">$C$35</f>
        <v>End of Life Processing</v>
      </c>
      <c r="D70" t="str" cm="1">
        <f t="array" ref="D70">C13</f>
        <v>Panel Consumed</v>
      </c>
      <c r="E70" t="b">
        <v>1</v>
      </c>
      <c r="F70">
        <v>2</v>
      </c>
    </row>
    <row r="71" spans="2:8" ht="16" customHeight="1">
      <c r="B71" t="s">
        <v>54</v>
      </c>
      <c r="C71" t="str" cm="1">
        <f t="array" ref="C71">$C$35</f>
        <v>End of Life Processing</v>
      </c>
      <c r="D71" t="str" cm="1">
        <f t="array" ref="D71">C18</f>
        <v>Paper and Paperboard Consumed</v>
      </c>
      <c r="E71" t="b">
        <v>1</v>
      </c>
      <c r="F71">
        <v>3</v>
      </c>
    </row>
    <row r="72" spans="2:8" ht="16" customHeight="1">
      <c r="B72" t="s">
        <v>54</v>
      </c>
      <c r="C72" t="str" cm="1">
        <f t="array" ref="C72">$C$35</f>
        <v>End of Life Processing</v>
      </c>
      <c r="D72" t="str" cm="1">
        <f t="array" ref="D72">C22</f>
        <v>CO2</v>
      </c>
      <c r="E72" t="b">
        <v>0</v>
      </c>
      <c r="F72">
        <v>1</v>
      </c>
    </row>
    <row r="73" spans="2:8" ht="16" customHeight="1">
      <c r="B73" t="s">
        <v>54</v>
      </c>
      <c r="C73" t="str" cm="1">
        <f t="array" ref="C73">$C$35</f>
        <v>End of Life Processing</v>
      </c>
      <c r="D73" t="str" cm="1">
        <f t="array" ref="D73">C23</f>
        <v>CH4</v>
      </c>
      <c r="E73" t="b">
        <v>0</v>
      </c>
      <c r="F73">
        <v>2</v>
      </c>
    </row>
    <row r="74" spans="2:8" ht="16" customHeight="1">
      <c r="B74" t="s">
        <v>54</v>
      </c>
      <c r="C74" t="str" cm="1">
        <f t="array" ref="C74">$C$35</f>
        <v>End of Life Processing</v>
      </c>
      <c r="D74" t="str" cm="1">
        <f t="array" ref="D74">C24</f>
        <v>Other gases</v>
      </c>
      <c r="E74" t="b">
        <v>0</v>
      </c>
      <c r="F74">
        <v>3</v>
      </c>
    </row>
    <row r="76" spans="2:8" s="3" customFormat="1" ht="16" customHeight="1">
      <c r="B76" s="2" t="s">
        <v>55</v>
      </c>
      <c r="C76" s="2" t="s">
        <v>2</v>
      </c>
      <c r="D76" s="2" t="s">
        <v>56</v>
      </c>
      <c r="E76" s="2" t="s">
        <v>36</v>
      </c>
      <c r="F76" s="3" t="s">
        <v>57</v>
      </c>
      <c r="G76" s="3" t="s">
        <v>58</v>
      </c>
      <c r="H76" s="3" t="s">
        <v>59</v>
      </c>
    </row>
    <row r="78" spans="2:8" ht="16" customHeight="1">
      <c r="B78" t="s">
        <v>60</v>
      </c>
      <c r="C78" t="str">
        <f>C28</f>
        <v>Roundwood Trading</v>
      </c>
      <c r="D78" t="str" cm="1">
        <f t="array" ref="D78">C28</f>
        <v>Roundwood Trading</v>
      </c>
      <c r="E78" t="s">
        <v>61</v>
      </c>
    </row>
    <row r="79" spans="2:8" ht="16" customHeight="1">
      <c r="B79" t="s">
        <v>60</v>
      </c>
      <c r="C79" t="str">
        <f t="shared" ref="C79:C85" si="0">C29</f>
        <v>Roundwood value-adding</v>
      </c>
      <c r="D79" t="str" cm="1">
        <f t="array" ref="D79">C29</f>
        <v>Roundwood value-adding</v>
      </c>
      <c r="E79" t="s">
        <v>61</v>
      </c>
    </row>
    <row r="80" spans="2:8" ht="16" customHeight="1">
      <c r="B80" t="s">
        <v>60</v>
      </c>
      <c r="C80" t="str">
        <f t="shared" si="0"/>
        <v>Sawnwood manufacturing</v>
      </c>
      <c r="D80" t="str" cm="1">
        <f t="array" ref="D80">C30</f>
        <v>Sawnwood manufacturing</v>
      </c>
      <c r="E80" t="s">
        <v>61</v>
      </c>
    </row>
    <row r="81" spans="2:10" ht="16" customHeight="1">
      <c r="B81" t="s">
        <v>60</v>
      </c>
      <c r="C81" t="str">
        <f t="shared" si="0"/>
        <v>Panel manufacturing</v>
      </c>
      <c r="D81" t="str" cm="1">
        <f t="array" ref="D81">C31</f>
        <v>Panel manufacturing</v>
      </c>
      <c r="E81" t="s">
        <v>61</v>
      </c>
    </row>
    <row r="82" spans="2:10" ht="16" customHeight="1">
      <c r="B82" t="s">
        <v>60</v>
      </c>
      <c r="C82" t="str">
        <f t="shared" si="0"/>
        <v>Sawnwood Trading</v>
      </c>
      <c r="D82" t="str" cm="1">
        <f t="array" ref="D82">C32</f>
        <v>Sawnwood Trading</v>
      </c>
      <c r="E82" t="s">
        <v>61</v>
      </c>
    </row>
    <row r="83" spans="2:10" ht="16" customHeight="1">
      <c r="B83" t="s">
        <v>60</v>
      </c>
      <c r="C83" t="str">
        <f t="shared" si="0"/>
        <v>Panel Trading</v>
      </c>
      <c r="D83" t="str" cm="1">
        <f t="array" ref="D83">C33</f>
        <v>Panel Trading</v>
      </c>
      <c r="E83" t="s">
        <v>61</v>
      </c>
    </row>
    <row r="84" spans="2:10" ht="16" customHeight="1">
      <c r="B84" t="s">
        <v>60</v>
      </c>
      <c r="C84" t="str">
        <f t="shared" si="0"/>
        <v>Paper and Paperboard Trading</v>
      </c>
      <c r="D84" t="str" cm="1">
        <f t="array" ref="D84">C34</f>
        <v>Paper and Paperboard Trading</v>
      </c>
      <c r="E84" t="s">
        <v>61</v>
      </c>
    </row>
    <row r="85" spans="2:10" ht="16" customHeight="1">
      <c r="B85" t="s">
        <v>60</v>
      </c>
      <c r="C85" t="str">
        <f t="shared" si="0"/>
        <v>End of Life Processing</v>
      </c>
      <c r="D85" t="str" cm="1">
        <f t="array" ref="D85">C35</f>
        <v>End of Life Processing</v>
      </c>
      <c r="E85" t="s">
        <v>61</v>
      </c>
    </row>
    <row r="87" spans="2:10" s="3" customFormat="1" ht="16" customHeight="1">
      <c r="B87" s="2" t="s">
        <v>62</v>
      </c>
      <c r="C87" s="2" t="s">
        <v>63</v>
      </c>
      <c r="D87" s="2" t="s">
        <v>52</v>
      </c>
      <c r="E87" s="2" t="s">
        <v>64</v>
      </c>
      <c r="F87" s="5" t="s">
        <v>125</v>
      </c>
      <c r="G87" s="5" t="s">
        <v>65</v>
      </c>
      <c r="H87" s="5" t="s">
        <v>126</v>
      </c>
      <c r="I87" s="5" t="s">
        <v>127</v>
      </c>
      <c r="J87" s="3" t="s">
        <v>66</v>
      </c>
    </row>
    <row r="89" spans="2:10" ht="16" customHeight="1">
      <c r="B89" t="s">
        <v>67</v>
      </c>
      <c r="C89" t="str" cm="1">
        <f t="array" ref="C89">C78</f>
        <v>Roundwood Trading</v>
      </c>
      <c r="D89">
        <v>1</v>
      </c>
      <c r="E89">
        <v>0.5</v>
      </c>
    </row>
    <row r="90" spans="2:10" ht="16" customHeight="1">
      <c r="B90" t="s">
        <v>67</v>
      </c>
      <c r="C90" t="str" cm="1">
        <f t="array" ref="C90">C78</f>
        <v>Roundwood Trading</v>
      </c>
      <c r="D90">
        <v>2</v>
      </c>
      <c r="E90">
        <v>0.5</v>
      </c>
    </row>
    <row r="92" spans="2:10" ht="16" customHeight="1">
      <c r="B92" t="s">
        <v>67</v>
      </c>
      <c r="C92" t="str" cm="1">
        <f t="array" ref="C92">C79</f>
        <v>Roundwood value-adding</v>
      </c>
      <c r="D92">
        <v>1</v>
      </c>
      <c r="E92">
        <v>0.75</v>
      </c>
    </row>
    <row r="93" spans="2:10" ht="16" customHeight="1">
      <c r="B93" t="s">
        <v>67</v>
      </c>
      <c r="C93" t="str" cm="1">
        <f t="array" ref="C93">C79</f>
        <v>Roundwood value-adding</v>
      </c>
      <c r="D93">
        <v>2</v>
      </c>
      <c r="E93">
        <v>0.25</v>
      </c>
    </row>
    <row r="95" spans="2:10" ht="16" customHeight="1">
      <c r="B95" t="s">
        <v>67</v>
      </c>
      <c r="C95" t="str" cm="1">
        <f t="array" ref="C95">C80</f>
        <v>Sawnwood manufacturing</v>
      </c>
      <c r="D95">
        <v>1</v>
      </c>
      <c r="E95">
        <v>0.5</v>
      </c>
    </row>
    <row r="96" spans="2:10" ht="16" customHeight="1">
      <c r="B96" t="s">
        <v>67</v>
      </c>
      <c r="C96" t="str" cm="1">
        <f t="array" ref="C96">C80</f>
        <v>Sawnwood manufacturing</v>
      </c>
      <c r="D96">
        <v>2</v>
      </c>
      <c r="E96">
        <v>0.5</v>
      </c>
    </row>
    <row r="98" spans="2:5" ht="16" customHeight="1">
      <c r="B98" t="s">
        <v>67</v>
      </c>
      <c r="C98" t="str" cm="1">
        <f t="array" ref="C98">C81</f>
        <v>Panel manufacturing</v>
      </c>
      <c r="D98">
        <v>1</v>
      </c>
      <c r="E98">
        <v>0.98</v>
      </c>
    </row>
    <row r="99" spans="2:5" ht="16" customHeight="1">
      <c r="B99" t="s">
        <v>67</v>
      </c>
      <c r="C99" t="str" cm="1">
        <f t="array" ref="C99">C81</f>
        <v>Panel manufacturing</v>
      </c>
      <c r="D99">
        <v>2</v>
      </c>
      <c r="E99">
        <v>0.02</v>
      </c>
    </row>
    <row r="101" spans="2:5" ht="16" customHeight="1">
      <c r="B101" t="s">
        <v>67</v>
      </c>
      <c r="C101" t="str" cm="1">
        <f t="array" ref="C101">C82</f>
        <v>Sawnwood Trading</v>
      </c>
      <c r="D101">
        <v>1</v>
      </c>
      <c r="E101">
        <v>0.75</v>
      </c>
    </row>
    <row r="102" spans="2:5" ht="16" customHeight="1">
      <c r="B102" t="s">
        <v>67</v>
      </c>
      <c r="C102" t="str" cm="1">
        <f t="array" ref="C102">C82</f>
        <v>Sawnwood Trading</v>
      </c>
      <c r="D102">
        <v>2</v>
      </c>
      <c r="E102">
        <v>0.25</v>
      </c>
    </row>
    <row r="104" spans="2:5" ht="16" customHeight="1">
      <c r="B104" t="s">
        <v>67</v>
      </c>
      <c r="C104" t="str" cm="1">
        <f t="array" ref="C104">C83</f>
        <v>Panel Trading</v>
      </c>
      <c r="D104">
        <v>1</v>
      </c>
      <c r="E104">
        <v>0.75</v>
      </c>
    </row>
    <row r="105" spans="2:5" ht="16" customHeight="1">
      <c r="B105" t="s">
        <v>67</v>
      </c>
      <c r="C105" t="str" cm="1">
        <f t="array" ref="C105">C83</f>
        <v>Panel Trading</v>
      </c>
      <c r="D105">
        <v>2</v>
      </c>
      <c r="E105">
        <v>0.25</v>
      </c>
    </row>
    <row r="107" spans="2:5" ht="16" customHeight="1">
      <c r="B107" t="s">
        <v>67</v>
      </c>
      <c r="C107" t="str" cm="1">
        <f t="array" ref="C107">C84</f>
        <v>Paper and Paperboard Trading</v>
      </c>
      <c r="D107">
        <v>1</v>
      </c>
      <c r="E107">
        <v>0.75</v>
      </c>
    </row>
    <row r="108" spans="2:5" ht="16" customHeight="1">
      <c r="B108" t="s">
        <v>67</v>
      </c>
      <c r="C108" t="str" cm="1">
        <f t="array" ref="C108">C84</f>
        <v>Paper and Paperboard Trading</v>
      </c>
      <c r="D108">
        <v>2</v>
      </c>
      <c r="E108">
        <v>0.25</v>
      </c>
    </row>
    <row r="110" spans="2:5" ht="16" customHeight="1">
      <c r="B110" t="s">
        <v>67</v>
      </c>
      <c r="C110" t="str" cm="1">
        <f t="array" ref="C110">C85</f>
        <v>End of Life Processing</v>
      </c>
      <c r="D110">
        <v>1</v>
      </c>
      <c r="E110">
        <v>0.5</v>
      </c>
    </row>
    <row r="111" spans="2:5" ht="16" customHeight="1">
      <c r="B111" t="s">
        <v>67</v>
      </c>
      <c r="C111" t="str" cm="1">
        <f t="array" ref="C111">C85</f>
        <v>End of Life Processing</v>
      </c>
      <c r="D111">
        <v>2</v>
      </c>
      <c r="E111">
        <v>0.5</v>
      </c>
    </row>
    <row r="112" spans="2:5" ht="16" customHeight="1">
      <c r="B112" t="s">
        <v>67</v>
      </c>
      <c r="C112" t="str" cm="1">
        <f t="array" ref="C112">C85</f>
        <v>End of Life Processing</v>
      </c>
      <c r="D112">
        <v>3</v>
      </c>
      <c r="E11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2807-D21A-1A49-9C05-E8FAC8B5CEA8}">
  <dimension ref="B1:K4"/>
  <sheetViews>
    <sheetView workbookViewId="0">
      <selection activeCell="F4" sqref="F4:G4"/>
    </sheetView>
  </sheetViews>
  <sheetFormatPr baseColWidth="10" defaultRowHeight="16"/>
  <cols>
    <col min="2" max="2" width="19.28515625" bestFit="1" customWidth="1"/>
    <col min="3" max="3" width="18.85546875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9.7109375" bestFit="1" customWidth="1"/>
  </cols>
  <sheetData>
    <row r="1" spans="2:11" s="3" customFormat="1">
      <c r="B1" s="2" t="s">
        <v>68</v>
      </c>
      <c r="C1" s="2" t="s">
        <v>69</v>
      </c>
      <c r="D1" s="3" t="s">
        <v>70</v>
      </c>
      <c r="E1" s="2" t="s">
        <v>71</v>
      </c>
      <c r="F1" s="2" t="s">
        <v>72</v>
      </c>
      <c r="G1" s="2" t="s">
        <v>73</v>
      </c>
      <c r="H1" s="3" t="s">
        <v>74</v>
      </c>
      <c r="I1" s="3" t="s">
        <v>74</v>
      </c>
      <c r="J1" s="3" t="s">
        <v>74</v>
      </c>
      <c r="K1" s="3" t="s">
        <v>59</v>
      </c>
    </row>
    <row r="3" spans="2:11">
      <c r="B3" t="s">
        <v>75</v>
      </c>
      <c r="C3" t="str">
        <f>'Inputs - Flow Network'!C3</f>
        <v>Roundwood Harvested</v>
      </c>
      <c r="E3" t="str">
        <f>'Inputs - Categorical'!C3</f>
        <v>Roundwood</v>
      </c>
      <c r="F3" s="4">
        <v>100</v>
      </c>
      <c r="G3">
        <v>1</v>
      </c>
    </row>
    <row r="4" spans="2:11">
      <c r="F4" s="4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481-AC22-9A46-B3DF-F781248D750D}">
  <dimension ref="B1:G15"/>
  <sheetViews>
    <sheetView workbookViewId="0">
      <selection activeCell="D34" sqref="D34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3" customFormat="1">
      <c r="B1" s="2" t="s">
        <v>79</v>
      </c>
      <c r="C1" s="2" t="s">
        <v>2</v>
      </c>
      <c r="D1" s="3" t="s">
        <v>80</v>
      </c>
    </row>
    <row r="3" spans="2:7">
      <c r="B3" t="s">
        <v>81</v>
      </c>
      <c r="C3" t="s">
        <v>82</v>
      </c>
    </row>
    <row r="5" spans="2:7" s="3" customFormat="1">
      <c r="B5" s="2" t="s">
        <v>83</v>
      </c>
      <c r="C5" s="2" t="s">
        <v>2</v>
      </c>
      <c r="D5" s="3" t="s">
        <v>58</v>
      </c>
      <c r="E5" s="3" t="s">
        <v>59</v>
      </c>
    </row>
    <row r="7" spans="2:7" s="3" customFormat="1">
      <c r="B7" s="2" t="s">
        <v>84</v>
      </c>
      <c r="C7" s="2" t="s">
        <v>85</v>
      </c>
      <c r="D7" s="2" t="s">
        <v>86</v>
      </c>
    </row>
    <row r="9" spans="2:7" s="3" customFormat="1">
      <c r="B9" s="2" t="s">
        <v>87</v>
      </c>
      <c r="C9" s="2" t="s">
        <v>2</v>
      </c>
      <c r="D9" s="3" t="s">
        <v>88</v>
      </c>
      <c r="E9" s="3" t="s">
        <v>89</v>
      </c>
      <c r="F9" s="3" t="s">
        <v>58</v>
      </c>
      <c r="G9" s="3" t="s">
        <v>59</v>
      </c>
    </row>
    <row r="11" spans="2:7" s="3" customFormat="1">
      <c r="B11" s="2" t="s">
        <v>90</v>
      </c>
      <c r="C11" s="2" t="s">
        <v>2</v>
      </c>
      <c r="D11" s="3" t="s">
        <v>58</v>
      </c>
      <c r="E11" s="3" t="s">
        <v>59</v>
      </c>
    </row>
    <row r="13" spans="2:7" s="3" customFormat="1">
      <c r="B13" s="2" t="s">
        <v>91</v>
      </c>
      <c r="C13" s="2" t="s">
        <v>92</v>
      </c>
      <c r="D13" s="2" t="s">
        <v>93</v>
      </c>
    </row>
    <row r="15" spans="2:7" s="3" customFormat="1">
      <c r="B15" s="2" t="s">
        <v>94</v>
      </c>
      <c r="C15" s="3" t="s">
        <v>2</v>
      </c>
      <c r="D15" s="3" t="s">
        <v>95</v>
      </c>
      <c r="E15" s="3" t="s">
        <v>59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3B2-6978-B84E-A9D8-E2FB98D2112C}">
  <dimension ref="A1:H14"/>
  <sheetViews>
    <sheetView workbookViewId="0">
      <selection activeCell="E1" sqref="E1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1:8" s="3" customFormat="1">
      <c r="B1" s="2" t="s">
        <v>96</v>
      </c>
      <c r="C1" s="2" t="s">
        <v>97</v>
      </c>
      <c r="D1" s="3" t="s">
        <v>2</v>
      </c>
      <c r="E1" s="2" t="s">
        <v>98</v>
      </c>
      <c r="F1" s="3" t="s">
        <v>109</v>
      </c>
      <c r="G1" s="3" t="s">
        <v>110</v>
      </c>
      <c r="H1" s="3" t="s">
        <v>59</v>
      </c>
    </row>
    <row r="2" spans="1:8">
      <c r="A2" t="s">
        <v>0</v>
      </c>
      <c r="B2" t="s">
        <v>99</v>
      </c>
      <c r="C2">
        <v>1</v>
      </c>
      <c r="D2" t="s">
        <v>113</v>
      </c>
      <c r="E2">
        <v>1</v>
      </c>
    </row>
    <row r="3" spans="1:8">
      <c r="A3" t="s">
        <v>0</v>
      </c>
      <c r="B3" t="s">
        <v>99</v>
      </c>
      <c r="C3">
        <v>2</v>
      </c>
      <c r="D3" t="s">
        <v>114</v>
      </c>
      <c r="E3">
        <v>1</v>
      </c>
    </row>
    <row r="5" spans="1:8" s="3" customFormat="1">
      <c r="B5" s="2" t="s">
        <v>100</v>
      </c>
      <c r="C5" s="2" t="s">
        <v>2</v>
      </c>
    </row>
    <row r="6" spans="1:8">
      <c r="A6" t="s">
        <v>0</v>
      </c>
      <c r="B6" t="s">
        <v>101</v>
      </c>
      <c r="C6" t="s">
        <v>102</v>
      </c>
    </row>
    <row r="8" spans="1:8" s="3" customFormat="1">
      <c r="B8" s="2" t="s">
        <v>103</v>
      </c>
      <c r="C8" s="2" t="s">
        <v>2</v>
      </c>
      <c r="D8" s="2" t="s">
        <v>104</v>
      </c>
      <c r="E8" s="3" t="s">
        <v>59</v>
      </c>
    </row>
    <row r="10" spans="1:8">
      <c r="A10" t="s">
        <v>0</v>
      </c>
      <c r="B10" t="s">
        <v>105</v>
      </c>
      <c r="C10" t="s">
        <v>112</v>
      </c>
      <c r="D10" t="s">
        <v>102</v>
      </c>
    </row>
    <row r="12" spans="1:8" s="3" customFormat="1">
      <c r="B12" s="2" t="s">
        <v>106</v>
      </c>
      <c r="C12" s="1" t="s">
        <v>36</v>
      </c>
      <c r="D12" s="2" t="s">
        <v>107</v>
      </c>
      <c r="E12" s="3" t="s">
        <v>111</v>
      </c>
    </row>
    <row r="13" spans="1:8">
      <c r="A13" t="s">
        <v>0</v>
      </c>
      <c r="B13" t="s">
        <v>108</v>
      </c>
      <c r="C13" t="s">
        <v>112</v>
      </c>
      <c r="D13">
        <v>1</v>
      </c>
    </row>
    <row r="14" spans="1:8">
      <c r="A14" t="s">
        <v>0</v>
      </c>
      <c r="B14" t="s">
        <v>108</v>
      </c>
      <c r="C14" t="s">
        <v>112</v>
      </c>
      <c r="D14">
        <v>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909-7DF6-1B4A-B922-CF23C08FA7A6}">
  <dimension ref="B1:F7"/>
  <sheetViews>
    <sheetView workbookViewId="0">
      <selection activeCell="C19" sqref="C19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3" customFormat="1">
      <c r="B1" s="2" t="s">
        <v>115</v>
      </c>
      <c r="C1" s="2" t="s">
        <v>2</v>
      </c>
      <c r="D1" s="3" t="s">
        <v>124</v>
      </c>
      <c r="E1" s="3" t="s">
        <v>58</v>
      </c>
      <c r="F1" s="3" t="s">
        <v>59</v>
      </c>
    </row>
    <row r="3" spans="2:6" s="3" customFormat="1">
      <c r="B3" s="2" t="s">
        <v>116</v>
      </c>
      <c r="C3" s="2" t="s">
        <v>2</v>
      </c>
      <c r="D3" s="3" t="s">
        <v>58</v>
      </c>
      <c r="E3" s="3" t="s">
        <v>59</v>
      </c>
    </row>
    <row r="5" spans="2:6" s="3" customFormat="1">
      <c r="B5" s="2" t="s">
        <v>117</v>
      </c>
      <c r="C5" s="2" t="s">
        <v>118</v>
      </c>
      <c r="D5" s="2" t="s">
        <v>119</v>
      </c>
      <c r="E5" s="2" t="s">
        <v>36</v>
      </c>
      <c r="F5" s="2" t="s">
        <v>120</v>
      </c>
    </row>
    <row r="7" spans="2:6" s="3" customFormat="1">
      <c r="B7" s="2" t="s">
        <v>121</v>
      </c>
      <c r="C7" s="2" t="s">
        <v>119</v>
      </c>
      <c r="D7" s="2" t="s">
        <v>122</v>
      </c>
      <c r="E7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dcterms:created xsi:type="dcterms:W3CDTF">2026-01-04T10:59:27Z</dcterms:created>
  <dcterms:modified xsi:type="dcterms:W3CDTF">2026-05-15T04:44:12Z</dcterms:modified>
</cp:coreProperties>
</file>