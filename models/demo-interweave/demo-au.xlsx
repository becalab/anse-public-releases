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xie/projects/anse-models/demo-interweave/"/>
    </mc:Choice>
  </mc:AlternateContent>
  <xr:revisionPtr revIDLastSave="0" documentId="13_ncr:1_{0C0E8EB2-D9BC-E342-84F6-5C16EA2DE5DA}" xr6:coauthVersionLast="47" xr6:coauthVersionMax="47" xr10:uidLastSave="{00000000-0000-0000-0000-000000000000}"/>
  <bookViews>
    <workbookView xWindow="0" yWindow="600" windowWidth="17060" windowHeight="26900" xr2:uid="{73351A0E-E394-C94F-8AB9-3EA9DA143F24}"/>
  </bookViews>
  <sheets>
    <sheet name="Inputs - Flow Network" sheetId="1" r:id="rId1"/>
    <sheet name="Inputs - Carbon Mass" sheetId="2" r:id="rId2"/>
    <sheet name="Inputs - Categorical" sheetId="3" r:id="rId3"/>
    <sheet name="Inputs - Spatial" sheetId="6" r:id="rId4"/>
    <sheet name="Inputs - Curves" sheetId="5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1" l="1"/>
  <c r="D44" i="1"/>
  <c r="D10" i="6" l="1"/>
  <c r="C13" i="6"/>
  <c r="D13" i="6"/>
  <c r="C90" i="1"/>
  <c r="C89" i="1"/>
  <c r="C88" i="1"/>
  <c r="C87" i="1"/>
  <c r="C86" i="1"/>
  <c r="C85" i="1"/>
  <c r="C84" i="1"/>
  <c r="C83" i="1"/>
  <c r="C82" i="1"/>
  <c r="C36" i="1"/>
  <c r="C35" i="1"/>
  <c r="C34" i="1"/>
  <c r="C33" i="1"/>
  <c r="C31" i="1"/>
  <c r="C30" i="1"/>
  <c r="C29" i="1"/>
  <c r="C28" i="1"/>
  <c r="C24" i="1"/>
  <c r="C23" i="1"/>
  <c r="C22" i="1"/>
  <c r="C20" i="1"/>
  <c r="C18" i="1"/>
  <c r="C17" i="1"/>
  <c r="C15" i="1"/>
  <c r="C13" i="1"/>
  <c r="C12" i="1"/>
  <c r="C11" i="1"/>
  <c r="C9" i="1"/>
  <c r="C8" i="1"/>
  <c r="C7" i="1"/>
  <c r="C5" i="1"/>
  <c r="C4" i="1"/>
  <c r="C3" i="1"/>
  <c r="D71" i="1" l="1"/>
  <c r="D63" i="1"/>
  <c r="C119" i="1" l="1"/>
  <c r="E90" i="1"/>
  <c r="D59" i="1"/>
  <c r="D58" i="1"/>
  <c r="E32" i="1"/>
  <c r="C32" i="1"/>
  <c r="C59" i="1" s="1"/>
  <c r="E83" i="1"/>
  <c r="E84" i="1"/>
  <c r="E85" i="1"/>
  <c r="E86" i="1"/>
  <c r="E87" i="1"/>
  <c r="E88" i="1"/>
  <c r="E89" i="1"/>
  <c r="E82" i="1"/>
  <c r="E36" i="1"/>
  <c r="E35" i="1"/>
  <c r="E34" i="1"/>
  <c r="E33" i="1"/>
  <c r="E31" i="1"/>
  <c r="E30" i="1"/>
  <c r="E29" i="1"/>
  <c r="E28" i="1"/>
  <c r="D24" i="1"/>
  <c r="D23" i="1"/>
  <c r="D22" i="1"/>
  <c r="D20" i="1"/>
  <c r="D18" i="1"/>
  <c r="D17" i="1"/>
  <c r="D15" i="1"/>
  <c r="D13" i="1"/>
  <c r="D12" i="1"/>
  <c r="D11" i="1"/>
  <c r="D9" i="1"/>
  <c r="D8" i="1"/>
  <c r="D7" i="1"/>
  <c r="D4" i="1"/>
  <c r="D5" i="1"/>
  <c r="D3" i="1"/>
  <c r="E3" i="2"/>
  <c r="C3" i="2"/>
  <c r="C95" i="1" a="1"/>
  <c r="C95" i="1" s="1"/>
  <c r="C94" i="1" a="1"/>
  <c r="C94" i="1" s="1"/>
  <c r="D89" i="1" a="1"/>
  <c r="D89" i="1" s="1"/>
  <c r="D88" i="1" a="1"/>
  <c r="D88" i="1" s="1"/>
  <c r="D87" i="1" a="1"/>
  <c r="D87" i="1" s="1"/>
  <c r="D86" i="1" a="1"/>
  <c r="D86" i="1" s="1"/>
  <c r="D85" i="1" a="1"/>
  <c r="D85" i="1" s="1"/>
  <c r="D84" i="1" a="1"/>
  <c r="D84" i="1" s="1"/>
  <c r="D83" i="1" a="1"/>
  <c r="D83" i="1" s="1"/>
  <c r="D82" i="1" a="1"/>
  <c r="D82" i="1" s="1"/>
  <c r="D78" i="1" a="1"/>
  <c r="D78" i="1" s="1"/>
  <c r="C78" i="1" a="1"/>
  <c r="C78" i="1" s="1"/>
  <c r="D77" i="1" a="1"/>
  <c r="D77" i="1" s="1"/>
  <c r="C77" i="1" a="1"/>
  <c r="C77" i="1" s="1"/>
  <c r="D76" i="1" a="1"/>
  <c r="D76" i="1" s="1"/>
  <c r="C76" i="1" a="1"/>
  <c r="C76" i="1" s="1"/>
  <c r="D75" i="1" a="1"/>
  <c r="D75" i="1" s="1"/>
  <c r="C75" i="1" a="1"/>
  <c r="C75" i="1" s="1"/>
  <c r="D74" i="1" a="1"/>
  <c r="D74" i="1" s="1"/>
  <c r="C74" i="1" a="1"/>
  <c r="C74" i="1" s="1"/>
  <c r="D73" i="1" a="1"/>
  <c r="D73" i="1" s="1"/>
  <c r="C73" i="1" a="1"/>
  <c r="C73" i="1" s="1"/>
  <c r="C71" i="1" a="1"/>
  <c r="C71" i="1" s="1"/>
  <c r="D70" i="1" a="1"/>
  <c r="D70" i="1" s="1"/>
  <c r="C70" i="1" a="1"/>
  <c r="C70" i="1" s="1"/>
  <c r="D69" i="1" a="1"/>
  <c r="D69" i="1" s="1"/>
  <c r="C69" i="1" a="1"/>
  <c r="C69" i="1" s="1"/>
  <c r="C67" i="1" a="1"/>
  <c r="C67" i="1" s="1"/>
  <c r="D66" i="1" a="1"/>
  <c r="D66" i="1" s="1"/>
  <c r="C66" i="1" a="1"/>
  <c r="C66" i="1" s="1"/>
  <c r="D65" i="1" a="1"/>
  <c r="D65" i="1" s="1"/>
  <c r="C65" i="1" a="1"/>
  <c r="C65" i="1" s="1"/>
  <c r="C63" i="1" a="1"/>
  <c r="C63" i="1" s="1"/>
  <c r="D62" i="1" a="1"/>
  <c r="D62" i="1" s="1"/>
  <c r="C62" i="1" a="1"/>
  <c r="C62" i="1" s="1"/>
  <c r="D61" i="1" a="1"/>
  <c r="D61" i="1" s="1"/>
  <c r="C61" i="1" a="1"/>
  <c r="C61" i="1" s="1"/>
  <c r="D56" i="1" a="1"/>
  <c r="D56" i="1" s="1"/>
  <c r="C56" i="1" a="1"/>
  <c r="C56" i="1" s="1"/>
  <c r="D55" i="1" a="1"/>
  <c r="D55" i="1" s="1"/>
  <c r="C55" i="1" a="1"/>
  <c r="C55" i="1" s="1"/>
  <c r="D54" i="1" a="1"/>
  <c r="D54" i="1" s="1"/>
  <c r="C54" i="1" a="1"/>
  <c r="C54" i="1" s="1"/>
  <c r="D52" i="1" a="1"/>
  <c r="D52" i="1" s="1"/>
  <c r="C52" i="1" a="1"/>
  <c r="C52" i="1" s="1"/>
  <c r="D51" i="1" a="1"/>
  <c r="D51" i="1" s="1"/>
  <c r="C51" i="1" a="1"/>
  <c r="C51" i="1" s="1"/>
  <c r="D50" i="1" a="1"/>
  <c r="D50" i="1" s="1"/>
  <c r="C50" i="1" a="1"/>
  <c r="C50" i="1" s="1"/>
  <c r="D48" i="1" a="1"/>
  <c r="D48" i="1" s="1"/>
  <c r="C48" i="1" a="1"/>
  <c r="C48" i="1" s="1"/>
  <c r="D47" i="1" a="1"/>
  <c r="D47" i="1" s="1"/>
  <c r="C47" i="1" a="1"/>
  <c r="C47" i="1" s="1"/>
  <c r="D46" i="1" a="1"/>
  <c r="D46" i="1" s="1"/>
  <c r="C46" i="1" a="1"/>
  <c r="C46" i="1" s="1"/>
  <c r="C44" i="1" a="1"/>
  <c r="C44" i="1" s="1"/>
  <c r="D43" i="1" a="1"/>
  <c r="D43" i="1" s="1"/>
  <c r="C43" i="1" a="1"/>
  <c r="C43" i="1" s="1"/>
  <c r="D42" i="1" a="1"/>
  <c r="D42" i="1" s="1"/>
  <c r="C42" i="1" a="1"/>
  <c r="C42" i="1" s="1"/>
  <c r="D90" i="1" l="1"/>
  <c r="C58" i="1"/>
  <c r="C100" i="1" a="1"/>
  <c r="C100" i="1" s="1"/>
  <c r="C101" i="1" a="1"/>
  <c r="C101" i="1" s="1"/>
  <c r="C106" i="1" a="1"/>
  <c r="C106" i="1" s="1"/>
  <c r="C107" i="1" a="1"/>
  <c r="C107" i="1" s="1"/>
  <c r="C117" i="1" a="1"/>
  <c r="C117" i="1" s="1"/>
  <c r="C116" i="1" a="1"/>
  <c r="C116" i="1" s="1"/>
  <c r="C115" i="1" a="1"/>
  <c r="C115" i="1" s="1"/>
  <c r="C104" i="1" a="1"/>
  <c r="C104" i="1" s="1"/>
  <c r="C103" i="1" a="1"/>
  <c r="C103" i="1" s="1"/>
  <c r="C110" i="1" a="1"/>
  <c r="C110" i="1" s="1"/>
  <c r="C109" i="1" a="1"/>
  <c r="C109" i="1" s="1"/>
  <c r="C112" i="1" a="1"/>
  <c r="C112" i="1" s="1"/>
  <c r="C113" i="1" a="1"/>
  <c r="C113" i="1" s="1"/>
  <c r="C98" i="1" a="1"/>
  <c r="C98" i="1" s="1"/>
  <c r="C97" i="1" a="1"/>
  <c r="C9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  <author>mhafer</author>
  </authors>
  <commentList>
    <comment ref="D1" authorId="0" shapeId="0" xr:uid="{DE5AEED7-5306-0F41-A9F6-E09723C0708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1" authorId="1" shapeId="0" xr:uid="{3CFD2D9D-03A4-3D43-B752-639C8A9DCDB2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H1" authorId="1" shapeId="0" xr:uid="{AE144688-A2B4-F142-9E42-AB258D32443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I1" authorId="1" shapeId="0" xr:uid="{10548B0F-45C8-2B40-81CC-02D44A03EDB8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K1" authorId="1" shapeId="0" xr:uid="{79A1913B-90BC-5643-9773-44EE0531D51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D26" authorId="0" shapeId="0" xr:uid="{0F0EF91A-6A2B-AF42-B0CE-76F64BCDFCAD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E26" authorId="0" shapeId="0" xr:uid="{F5AA7D95-F276-074C-9ED4-8C923FE06A2E}">
      <text>
        <r>
          <rPr>
            <sz val="11"/>
            <color indexed="8"/>
            <rFont val="Helvetica Neue"/>
            <family val="2"/>
          </rPr>
          <t>Magnan, Michael:
If unknown/undefined, enter "0"</t>
        </r>
      </text>
    </comment>
    <comment ref="F26" authorId="0" shapeId="0" xr:uid="{69409D6C-465E-1B44-BBA3-F285EDAE32E0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G26" authorId="0" shapeId="0" xr:uid="{E29E9985-673B-8944-B201-8155952DC7C9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J26" authorId="0" shapeId="0" xr:uid="{507231BE-77FA-294B-888E-FDFACCB62F22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This fiield's feature not currently supported</t>
        </r>
      </text>
    </comment>
    <comment ref="E40" authorId="1" shapeId="0" xr:uid="{9A8DBFB5-A8C4-5742-93BF-DAF4DC097001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>Boolean field; valid values are TRUE, FALSE, 1, 0</t>
        </r>
      </text>
    </comment>
    <comment ref="F40" authorId="0" shapeId="0" xr:uid="{9A461DFD-27AB-AC40-9F9F-FF5898DF746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field. For EVENT_POOL that is not source of carbon for the given Event, Sequence Number corresponds to an ACTION_PARAMETER_OUT component with the same sequence number</t>
        </r>
      </text>
    </comment>
    <comment ref="G40" authorId="0" shapeId="0" xr:uid="{790CC2B7-7F78-1E49-8A29-02AD544379DB}">
      <text>
        <r>
          <rPr>
            <sz val="11"/>
            <color indexed="8"/>
            <rFont val="Helvetica Neue"/>
            <family val="2"/>
          </rPr>
          <t>Magnan, Michael:
Boolean field; valid values are TRUE, FALSE, 1, 0.
If left empty, default is false.</t>
        </r>
      </text>
    </comment>
    <comment ref="D80" authorId="0" shapeId="0" xr:uid="{CB8A6D56-690F-E44F-ABA7-045BB1E9BA3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unknown, enter name of the EVENT for which the ACTION_PARAMETER_SET will be relevant</t>
        </r>
      </text>
    </comment>
    <comment ref="E80" authorId="0" shapeId="0" xr:uid="{0770F6B7-9594-4340-B75D-00EAD4679E04}">
      <text>
        <r>
          <rPr>
            <sz val="11"/>
            <color indexed="8"/>
            <rFont val="Helvetica Neue"/>
            <family val="2"/>
          </rPr>
          <t>Magnan, Michael:
If unknown, enter "UNIVERSE"</t>
        </r>
      </text>
    </comment>
    <comment ref="F80" authorId="0" shapeId="0" xr:uid="{1B7957D1-F128-AE48-86FE-5A39ACD0DF71}">
      <text>
        <r>
          <rPr>
            <sz val="11"/>
            <color indexed="8"/>
            <rFont val="Helvetica Neue"/>
            <family val="2"/>
          </rPr>
          <t>Magnan, Michael:
Integer field</t>
        </r>
      </text>
    </comment>
    <comment ref="G80" authorId="0" shapeId="0" xr:uid="{72DD9D24-3A22-B045-B80B-BE3842B8A588}">
      <text>
        <r>
          <rPr>
            <sz val="11"/>
            <color indexed="8"/>
            <rFont val="Helvetica Neue"/>
            <family val="2"/>
          </rPr>
          <t>Magnan, Michael:
String field for recording notes, such as the background reference source for the parameter</t>
        </r>
      </text>
    </comment>
    <comment ref="D92" authorId="0" shapeId="0" xr:uid="{00E1BBAA-B86A-8842-87A5-8788FA382A4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field.</t>
        </r>
      </text>
    </comment>
    <comment ref="G92" authorId="0" shapeId="0" xr:uid="{9D0C205B-9C9C-3F4A-912F-B707A4FF980A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The physical state into which the C mass is transformed. Must supply a distinct Physical State here (not Physical State Group)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</authors>
  <commentList>
    <comment ref="B15" authorId="0" shapeId="0" xr:uid="{CC7F5D1D-B34F-1646-BA4F-A18CC3CBED25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Not currently implemented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mhafer</author>
  </authors>
  <commentList>
    <comment ref="C1" authorId="0" shapeId="0" xr:uid="{EA202CC9-29F3-D843-B152-881A2002777E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  <comment ref="D1" authorId="0" shapeId="0" xr:uid="{1C18341E-17CA-F744-B49C-E9ECBCC81AB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E1" authorId="0" shapeId="0" xr:uid="{F0CC4848-5E49-0041-B3D5-0A6D38AC9A79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G1" authorId="0" shapeId="0" xr:uid="{0D59C2D4-07A0-9147-B057-CE565E9CA9C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<sst xmlns="http://schemas.openxmlformats.org/spreadsheetml/2006/main" count="215" uniqueCount="101">
  <si>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</si>
  <si>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</si>
  <si>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</si>
  <si>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</si>
  <si>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</si>
  <si>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</si>
  <si>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</si>
  <si>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</si>
  <si>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</si>
  <si>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</si>
  <si>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</si>
  <si>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</si>
  <si>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</si>
  <si>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</si>
  <si>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</si>
  <si>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</si>
  <si>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</si>
  <si>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</si>
  <si>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</si>
  <si>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</si>
  <si>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</si>
  <si>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</si>
  <si>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</si>
  <si>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</si>
  <si>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</si>
  <si>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</si>
  <si>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</si>
  <si>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</si>
  <si>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</si>
  <si>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</si>
  <si>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</si>
  <si>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</si>
  <si>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</si>
  <si>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</si>
  <si>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</si>
  <si>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ACTION_PARAMETER_SET</t>
  </si>
  <si>
    <t>Keyword: ACTION_PARAMETER_OUT</t>
  </si>
  <si>
    <t>Action_Parameter_Set(Name)</t>
  </si>
  <si>
    <t>Proportion</t>
  </si>
  <si>
    <t>Target Amount (Double precison)</t>
  </si>
  <si>
    <t>New Physical State Name</t>
  </si>
  <si>
    <t>Filter By Physical State Name/Group</t>
  </si>
  <si>
    <t>Filter By Species Name/Group</t>
  </si>
  <si>
    <t>Note</t>
  </si>
  <si>
    <t>ACTION_PARAMETER_OUT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</si>
  <si>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</si>
  <si>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</si>
  <si>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</si>
  <si>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</si>
  <si>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</si>
  <si>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</si>
  <si>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Empty Field</t>
  </si>
  <si>
    <t>INITIAL_CMO</t>
  </si>
  <si>
    <t>IPCC default-paper</t>
  </si>
  <si>
    <t>IPCC default-sawnwood</t>
  </si>
  <si>
    <t>IPCC default-panels</t>
  </si>
  <si>
    <t>Keyword: PHYSICAL_STATE</t>
  </si>
  <si>
    <t xml:space="preserve">Description </t>
  </si>
  <si>
    <t>PHYSICAL_STATE</t>
  </si>
  <si>
    <t>Roundwood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</si>
  <si>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</si>
  <si>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</si>
  <si>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</si>
  <si>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</si>
  <si>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</si>
  <si>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</si>
  <si>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</si>
  <si>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</si>
  <si>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</si>
  <si>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</si>
  <si>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</si>
  <si>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</si>
  <si>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</si>
  <si>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ASU</t>
  </si>
  <si>
    <t>ID</t>
  </si>
  <si>
    <t>Area</t>
  </si>
  <si>
    <t>ASU</t>
  </si>
  <si>
    <t>Keyword: ASU_GROUP_TYPE</t>
  </si>
  <si>
    <t>ASU_GROUP_TYPE</t>
  </si>
  <si>
    <t>Nation</t>
  </si>
  <si>
    <t>Keyword: ASU_GROUP</t>
  </si>
  <si>
    <t>ASU_Group_Type(Name)</t>
  </si>
  <si>
    <t>ASU_GROUP</t>
  </si>
  <si>
    <t>Keyword: ASU_GROUP_MEMBER</t>
  </si>
  <si>
    <t>ASU(ID)</t>
  </si>
  <si>
    <t>ASU_GROUP_MEMBER</t>
  </si>
  <si>
    <t>Tag(Name)</t>
  </si>
  <si>
    <t>GIS_Id</t>
  </si>
  <si>
    <t>Includes: ASU_Group(Name)</t>
  </si>
  <si>
    <t>Keyword: CURVE</t>
  </si>
  <si>
    <t>Keyword: CURVE_TYPE</t>
  </si>
  <si>
    <t>Keyword: CURVE_TYPE_MEMBER</t>
  </si>
  <si>
    <t>Curve_Type(Name)</t>
  </si>
  <si>
    <t>Curve(Name)</t>
  </si>
  <si>
    <t>Effective start timestep</t>
  </si>
  <si>
    <t>Keyword: CURVE_POINT</t>
  </si>
  <si>
    <t>X_axis (Independent Variable)</t>
  </si>
  <si>
    <t>Y_axis (Dependent Variable)</t>
  </si>
  <si>
    <t>Usage</t>
  </si>
  <si>
    <t>COMMENT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</si>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</sst>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HelveticaNeue"/>
      <family val="2"/>
    </font>
    <font>
      <sz val="11"/>
      <color indexed="8"/>
      <name val="Helvetica Neue"/>
      <family val="2"/>
    </font>
    <font>
      <sz val="11"/>
      <color rgb="FF000000"/>
      <name val="Helvetica Neue"/>
      <family val="2"/>
    </font>
    <font>
      <b/>
      <sz val="12"/>
      <color theme="1"/>
      <name val="HelveticaNeue"/>
    </font>
    <font>
      <sz val="12"/>
      <color theme="1"/>
      <name val="HelveticaNeue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2" borderId="0" xfId="0" applyFont="1" applyFill="1"/>
    <xf numFmtId="0" fontId="3" fillId="2" borderId="0" xfId="0" applyFont="1" applyFill="1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xie/projects/anse-models/demo-interweave/demo-nz.xlsx" TargetMode="External"/><Relationship Id="rId1" Type="http://schemas.openxmlformats.org/officeDocument/2006/relationships/externalLinkPath" Target="demo-nz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xie/projects/anse-models/demo-interweave/demo-id.xlsx" TargetMode="External"/><Relationship Id="rId1" Type="http://schemas.openxmlformats.org/officeDocument/2006/relationships/externalLinkPath" Target="demo-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 - Flow Network"/>
      <sheetName val="Inputs - Carbon Mass"/>
      <sheetName val="Inputs - Categorical"/>
      <sheetName val="Inputs - Spatial"/>
      <sheetName val="Inputs - Advanced Curves"/>
    </sheetNames>
    <sheetDataSet>
      <sheetData sheetId="0">
        <row r="3">
          <cell r="C3" t="str">
            <v>Roundwood, NZ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 - Flow Network"/>
      <sheetName val="Inputs - Carbon Mass"/>
      <sheetName val="Inputs - Categorical"/>
      <sheetName val="Inputs - Spatial"/>
      <sheetName val="Inputs - Advanced Curves"/>
    </sheetNames>
    <sheetDataSet>
      <sheetData sheetId="0">
        <row r="3">
          <cell r="C3" t="str">
            <v>Sawnwood, ID</v>
          </cell>
        </row>
        <row r="4">
          <cell r="C4" t="str">
            <v>Panels, ID</v>
          </cell>
        </row>
        <row r="5">
          <cell r="C5" t="str">
            <v>Paper, ID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C300-5F44-C54A-ADD4-2A504DCCAD49}">
  <dimension ref="A1:L119"/>
  <sheetViews>
    <sheetView tabSelected="1" topLeftCell="A25" workbookViewId="0">
      <selection activeCell="D63" sqref="D63"/>
    </sheetView>
  </sheetViews>
  <sheetFormatPr baseColWidth="10" defaultColWidth="7.5703125" defaultRowHeight="16" customHeight="1"/>
  <cols>
    <col min="1" max="1" width="8.5703125" customWidth="1"/>
    <col min="2" max="2" width="33.140625" customWidth="1"/>
    <col min="3" max="3" width="37.140625" bestFit="1" customWidth="1"/>
    <col min="4" max="4" width="30.42578125" bestFit="1" customWidth="1"/>
    <col min="5" max="5" width="28" customWidth="1"/>
    <col min="6" max="6" width="30.140625" customWidth="1"/>
    <col min="7" max="7" width="26.7109375" customWidth="1"/>
    <col min="8" max="8" width="34.4257812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1:12" s="1" customFormat="1" ht="16" customHeight="1"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3" spans="1:12" ht="16" customHeight="1">
      <c r="B3" t="s">
        <v>11</v>
      </c>
      <c r="C3" t="str">
        <f>"Roundwood Harvested, "&amp;'Inputs - Spatial'!C10</f>
        <v>Roundwood Harvested, AU</v>
      </c>
      <c r="D3">
        <f>'Inputs - Spatial'!$C$2</f>
        <v>61</v>
      </c>
      <c r="J3" t="b">
        <v>1</v>
      </c>
    </row>
    <row r="4" spans="1:12" ht="16" customHeight="1">
      <c r="B4" t="s">
        <v>11</v>
      </c>
      <c r="C4" t="str">
        <f>"Roundwood Consumed, "&amp;'Inputs - Spatial'!C10</f>
        <v>Roundwood Consumed, AU</v>
      </c>
      <c r="D4">
        <f>'Inputs - Spatial'!$C$2</f>
        <v>61</v>
      </c>
      <c r="J4" t="b">
        <v>1</v>
      </c>
    </row>
    <row r="5" spans="1:12" ht="16" customHeight="1">
      <c r="A5" t="s">
        <v>99</v>
      </c>
      <c r="B5" t="s">
        <v>11</v>
      </c>
      <c r="C5" t="str">
        <f>"Roundwood Exported, "&amp;'Inputs - Spatial'!C10</f>
        <v>Roundwood Exported, AU</v>
      </c>
      <c r="D5">
        <f>'Inputs - Spatial'!$C$2</f>
        <v>61</v>
      </c>
      <c r="J5" t="b">
        <v>1</v>
      </c>
    </row>
    <row r="7" spans="1:12" ht="16" customHeight="1">
      <c r="B7" t="s">
        <v>11</v>
      </c>
      <c r="C7" t="str">
        <f>"Sawmill, "&amp;'Inputs - Spatial'!C10</f>
        <v>Sawmill, AU</v>
      </c>
      <c r="D7">
        <f>'Inputs - Spatial'!$C$2</f>
        <v>61</v>
      </c>
    </row>
    <row r="8" spans="1:12" ht="16" customHeight="1">
      <c r="B8" t="s">
        <v>11</v>
      </c>
      <c r="C8" t="str">
        <f>"Sawnwood Produced, "&amp;'Inputs - Spatial'!C10</f>
        <v>Sawnwood Produced, AU</v>
      </c>
      <c r="D8">
        <f>'Inputs - Spatial'!$C$2</f>
        <v>61</v>
      </c>
    </row>
    <row r="9" spans="1:12" ht="16" customHeight="1">
      <c r="B9" t="s">
        <v>11</v>
      </c>
      <c r="C9" t="str">
        <f>"Sawnwood Comsumed, "&amp;'Inputs - Spatial'!C10</f>
        <v>Sawnwood Comsumed, AU</v>
      </c>
      <c r="D9">
        <f>'Inputs - Spatial'!$C$2</f>
        <v>61</v>
      </c>
      <c r="E9" t="s">
        <v>54</v>
      </c>
    </row>
    <row r="11" spans="1:12" ht="16" customHeight="1">
      <c r="B11" t="s">
        <v>11</v>
      </c>
      <c r="C11" t="str">
        <f>"Panel mill, "&amp;'Inputs - Spatial'!C10</f>
        <v>Panel mill, AU</v>
      </c>
      <c r="D11">
        <f>'Inputs - Spatial'!$C$2</f>
        <v>61</v>
      </c>
    </row>
    <row r="12" spans="1:12" ht="16" customHeight="1">
      <c r="B12" t="s">
        <v>11</v>
      </c>
      <c r="C12" t="str">
        <f>"Panel Produced, "&amp;'Inputs - Spatial'!C10</f>
        <v>Panel Produced, AU</v>
      </c>
      <c r="D12">
        <f>'Inputs - Spatial'!$C$2</f>
        <v>61</v>
      </c>
    </row>
    <row r="13" spans="1:12" ht="16" customHeight="1">
      <c r="B13" t="s">
        <v>11</v>
      </c>
      <c r="C13" t="str">
        <f>"Panel Consumed, "&amp;'Inputs - Spatial'!C10</f>
        <v>Panel Consumed, AU</v>
      </c>
      <c r="D13">
        <f>'Inputs - Spatial'!$C$2</f>
        <v>61</v>
      </c>
      <c r="E13" t="s">
        <v>55</v>
      </c>
    </row>
    <row r="15" spans="1:12" ht="16" customHeight="1">
      <c r="B15" t="s">
        <v>11</v>
      </c>
      <c r="C15" t="str">
        <f>"Milling residues, "&amp;'Inputs - Spatial'!C10</f>
        <v>Milling residues, AU</v>
      </c>
      <c r="D15">
        <f>'Inputs - Spatial'!$C$2</f>
        <v>61</v>
      </c>
    </row>
    <row r="17" spans="1:12" ht="16" customHeight="1">
      <c r="B17" t="s">
        <v>11</v>
      </c>
      <c r="C17" t="str">
        <f>"Paper and Paperboard Produced, "&amp;'Inputs - Spatial'!C10</f>
        <v>Paper and Paperboard Produced, AU</v>
      </c>
      <c r="D17">
        <f>'Inputs - Spatial'!$C$2</f>
        <v>61</v>
      </c>
    </row>
    <row r="18" spans="1:12" ht="16" customHeight="1">
      <c r="B18" t="s">
        <v>11</v>
      </c>
      <c r="C18" t="str">
        <f>"Paper and Paperboard Consumed, "&amp;'Inputs - Spatial'!C10</f>
        <v>Paper and Paperboard Consumed, AU</v>
      </c>
      <c r="D18">
        <f>'Inputs - Spatial'!$C$2</f>
        <v>61</v>
      </c>
      <c r="E18" t="s">
        <v>53</v>
      </c>
    </row>
    <row r="20" spans="1:12" ht="16" customHeight="1">
      <c r="A20" t="s">
        <v>99</v>
      </c>
      <c r="B20" t="s">
        <v>11</v>
      </c>
      <c r="C20" t="str">
        <f>"Products Exported, "&amp;'Inputs - Spatial'!C10</f>
        <v>Products Exported, AU</v>
      </c>
      <c r="D20">
        <f>'Inputs - Spatial'!$C$2</f>
        <v>61</v>
      </c>
    </row>
    <row r="22" spans="1:12" ht="16" customHeight="1">
      <c r="B22" t="s">
        <v>11</v>
      </c>
      <c r="C22" t="str">
        <f>"CO2, "&amp;'Inputs - Spatial'!C10</f>
        <v>CO2, AU</v>
      </c>
      <c r="D22">
        <f>'Inputs - Spatial'!$C$2</f>
        <v>61</v>
      </c>
    </row>
    <row r="23" spans="1:12" ht="16" customHeight="1">
      <c r="B23" t="s">
        <v>11</v>
      </c>
      <c r="C23" t="str">
        <f>"CH4, "&amp;'Inputs - Spatial'!C10</f>
        <v>CH4, AU</v>
      </c>
      <c r="D23">
        <f>'Inputs - Spatial'!$C$2</f>
        <v>61</v>
      </c>
    </row>
    <row r="24" spans="1:12" ht="16" customHeight="1">
      <c r="B24" t="s">
        <v>11</v>
      </c>
      <c r="C24" t="str">
        <f>"Other gases, "&amp;'Inputs - Spatial'!C10</f>
        <v>Other gases, AU</v>
      </c>
      <c r="D24">
        <f>'Inputs - Spatial'!$C$2</f>
        <v>61</v>
      </c>
    </row>
    <row r="26" spans="1:12" s="3" customFormat="1" ht="16" customHeight="1">
      <c r="B26" s="2" t="s">
        <v>12</v>
      </c>
      <c r="C26" s="2" t="s">
        <v>1</v>
      </c>
      <c r="D26" s="2" t="s">
        <v>13</v>
      </c>
      <c r="E26" s="2" t="s">
        <v>2</v>
      </c>
      <c r="F26" s="3" t="s">
        <v>14</v>
      </c>
      <c r="G26" s="3" t="s">
        <v>15</v>
      </c>
      <c r="H26" s="3" t="s">
        <v>16</v>
      </c>
      <c r="I26" s="3" t="s">
        <v>17</v>
      </c>
      <c r="J26" s="3" t="s">
        <v>18</v>
      </c>
      <c r="K26" s="3" t="s">
        <v>19</v>
      </c>
      <c r="L26" s="3" t="s">
        <v>10</v>
      </c>
    </row>
    <row r="28" spans="1:12" ht="16" customHeight="1">
      <c r="B28" t="s">
        <v>20</v>
      </c>
      <c r="C28" t="str">
        <f>"Roundwood Trading, "&amp;'Inputs - Spatial'!C10</f>
        <v>Roundwood Trading, AU</v>
      </c>
      <c r="D28">
        <v>0</v>
      </c>
      <c r="E28">
        <f>'Inputs - Spatial'!$C$2</f>
        <v>61</v>
      </c>
    </row>
    <row r="29" spans="1:12" ht="16" customHeight="1">
      <c r="B29" t="s">
        <v>20</v>
      </c>
      <c r="C29" t="str">
        <f>"Roundwood value-adding, "&amp;'Inputs - Spatial'!C10</f>
        <v>Roundwood value-adding, AU</v>
      </c>
      <c r="D29">
        <v>0</v>
      </c>
      <c r="E29">
        <f>'Inputs - Spatial'!$C$2</f>
        <v>61</v>
      </c>
    </row>
    <row r="30" spans="1:12" ht="16" customHeight="1">
      <c r="B30" t="s">
        <v>20</v>
      </c>
      <c r="C30" t="str">
        <f>"Sawnwood manufacturing, "&amp;'Inputs - Spatial'!C10</f>
        <v>Sawnwood manufacturing, AU</v>
      </c>
      <c r="D30">
        <v>0</v>
      </c>
      <c r="E30">
        <f>'Inputs - Spatial'!$C$2</f>
        <v>61</v>
      </c>
    </row>
    <row r="31" spans="1:12" ht="16" customHeight="1">
      <c r="B31" t="s">
        <v>20</v>
      </c>
      <c r="C31" t="str">
        <f>"Panel manufacturing, "&amp;'Inputs - Spatial'!C10</f>
        <v>Panel manufacturing, AU</v>
      </c>
      <c r="D31">
        <v>0</v>
      </c>
      <c r="E31">
        <f>'Inputs - Spatial'!$C$2</f>
        <v>61</v>
      </c>
    </row>
    <row r="32" spans="1:12" ht="16" customHeight="1">
      <c r="B32" t="s">
        <v>20</v>
      </c>
      <c r="C32" t="str">
        <f>"Pulp and Paper manufacturing, "&amp;'Inputs - Spatial'!C10</f>
        <v>Pulp and Paper manufacturing, AU</v>
      </c>
      <c r="D32">
        <v>0</v>
      </c>
      <c r="E32">
        <f>'Inputs - Spatial'!$C$2</f>
        <v>61</v>
      </c>
    </row>
    <row r="33" spans="2:7" ht="16" customHeight="1">
      <c r="B33" t="s">
        <v>20</v>
      </c>
      <c r="C33" t="str">
        <f>"Sawnwood Trading, "&amp;'Inputs - Spatial'!C10</f>
        <v>Sawnwood Trading, AU</v>
      </c>
      <c r="D33">
        <v>0</v>
      </c>
      <c r="E33">
        <f>'Inputs - Spatial'!$C$2</f>
        <v>61</v>
      </c>
    </row>
    <row r="34" spans="2:7" ht="16" customHeight="1">
      <c r="B34" t="s">
        <v>20</v>
      </c>
      <c r="C34" t="str">
        <f>"Panel Trading, "&amp;'Inputs - Spatial'!C10</f>
        <v>Panel Trading, AU</v>
      </c>
      <c r="D34">
        <v>0</v>
      </c>
      <c r="E34">
        <f>'Inputs - Spatial'!$C$2</f>
        <v>61</v>
      </c>
    </row>
    <row r="35" spans="2:7" ht="16" customHeight="1">
      <c r="B35" t="s">
        <v>20</v>
      </c>
      <c r="C35" t="str">
        <f>"Paper and Paperboard Trading, "&amp;'Inputs - Spatial'!C10</f>
        <v>Paper and Paperboard Trading, AU</v>
      </c>
      <c r="D35">
        <v>0</v>
      </c>
      <c r="E35">
        <f>'Inputs - Spatial'!$C$2</f>
        <v>61</v>
      </c>
    </row>
    <row r="36" spans="2:7" ht="16" customHeight="1">
      <c r="B36" t="s">
        <v>20</v>
      </c>
      <c r="C36" t="str">
        <f>"End of Life Processing, "&amp;'Inputs - Spatial'!C10</f>
        <v>End of Life Processing, AU</v>
      </c>
      <c r="D36">
        <v>0</v>
      </c>
      <c r="E36">
        <f>'Inputs - Spatial'!$C$2</f>
        <v>61</v>
      </c>
    </row>
    <row r="38" spans="2:7" s="3" customFormat="1" ht="16" customHeight="1">
      <c r="B38" s="2" t="s">
        <v>21</v>
      </c>
      <c r="C38" s="2" t="s">
        <v>22</v>
      </c>
    </row>
    <row r="40" spans="2:7" s="3" customFormat="1" ht="16" customHeight="1">
      <c r="B40" s="2" t="s">
        <v>23</v>
      </c>
      <c r="C40" s="2" t="s">
        <v>24</v>
      </c>
      <c r="D40" s="2" t="s">
        <v>25</v>
      </c>
      <c r="E40" s="2" t="s">
        <v>26</v>
      </c>
      <c r="F40" s="2" t="s">
        <v>27</v>
      </c>
      <c r="G40" s="3" t="s">
        <v>28</v>
      </c>
    </row>
    <row r="42" spans="2:7" ht="16" customHeight="1">
      <c r="B42" t="s">
        <v>29</v>
      </c>
      <c r="C42" t="str" cm="1">
        <f t="array" ref="C42">$C$28</f>
        <v>Roundwood Trading, AU</v>
      </c>
      <c r="D42" t="str" cm="1">
        <f t="array" ref="D42">$C3</f>
        <v>Roundwood Harvested, AU</v>
      </c>
      <c r="E42" t="b">
        <v>1</v>
      </c>
      <c r="F42">
        <v>1</v>
      </c>
    </row>
    <row r="43" spans="2:7" ht="16" customHeight="1">
      <c r="B43" t="s">
        <v>29</v>
      </c>
      <c r="C43" t="str" cm="1">
        <f t="array" ref="C43">$C$28</f>
        <v>Roundwood Trading, AU</v>
      </c>
      <c r="D43" t="str" cm="1">
        <f t="array" ref="D43">C4</f>
        <v>Roundwood Consumed, AU</v>
      </c>
      <c r="E43" t="b">
        <v>0</v>
      </c>
      <c r="F43">
        <v>1</v>
      </c>
    </row>
    <row r="44" spans="2:7" ht="16" customHeight="1">
      <c r="B44" t="s">
        <v>29</v>
      </c>
      <c r="C44" t="str" cm="1">
        <f t="array" ref="C44">$C$28</f>
        <v>Roundwood Trading, AU</v>
      </c>
      <c r="D44" t="str">
        <f>'[1]Inputs - Flow Network'!$C$3</f>
        <v>Roundwood, NZ</v>
      </c>
      <c r="E44" t="b">
        <v>0</v>
      </c>
      <c r="F44">
        <v>2</v>
      </c>
    </row>
    <row r="46" spans="2:7" ht="16" customHeight="1">
      <c r="B46" t="s">
        <v>29</v>
      </c>
      <c r="C46" t="str" cm="1">
        <f t="array" ref="C46">$C$29</f>
        <v>Roundwood value-adding, AU</v>
      </c>
      <c r="D46" t="str" cm="1">
        <f t="array" ref="D46">C4</f>
        <v>Roundwood Consumed, AU</v>
      </c>
      <c r="E46" t="b">
        <v>1</v>
      </c>
      <c r="F46">
        <v>1</v>
      </c>
    </row>
    <row r="47" spans="2:7" ht="16" customHeight="1">
      <c r="B47" t="s">
        <v>29</v>
      </c>
      <c r="C47" t="str" cm="1">
        <f t="array" ref="C47">$C$29</f>
        <v>Roundwood value-adding, AU</v>
      </c>
      <c r="D47" t="str" cm="1">
        <f t="array" ref="D47">C7</f>
        <v>Sawmill, AU</v>
      </c>
      <c r="E47" t="b">
        <v>0</v>
      </c>
      <c r="F47">
        <v>1</v>
      </c>
    </row>
    <row r="48" spans="2:7" ht="16" customHeight="1">
      <c r="B48" t="s">
        <v>29</v>
      </c>
      <c r="C48" t="str" cm="1">
        <f t="array" ref="C48">$C$29</f>
        <v>Roundwood value-adding, AU</v>
      </c>
      <c r="D48" t="str" cm="1">
        <f t="array" ref="D48">C11</f>
        <v>Panel mill, AU</v>
      </c>
      <c r="E48" t="b">
        <v>0</v>
      </c>
      <c r="F48">
        <v>2</v>
      </c>
    </row>
    <row r="50" spans="2:6" ht="16" customHeight="1">
      <c r="B50" t="s">
        <v>29</v>
      </c>
      <c r="C50" t="str" cm="1">
        <f t="array" ref="C50">$C$30</f>
        <v>Sawnwood manufacturing, AU</v>
      </c>
      <c r="D50" t="str" cm="1">
        <f t="array" ref="D50">C7</f>
        <v>Sawmill, AU</v>
      </c>
      <c r="E50" t="b">
        <v>1</v>
      </c>
      <c r="F50">
        <v>1</v>
      </c>
    </row>
    <row r="51" spans="2:6" ht="16" customHeight="1">
      <c r="B51" t="s">
        <v>29</v>
      </c>
      <c r="C51" t="str" cm="1">
        <f t="array" ref="C51">$C$30</f>
        <v>Sawnwood manufacturing, AU</v>
      </c>
      <c r="D51" t="str" cm="1">
        <f t="array" ref="D51">C8</f>
        <v>Sawnwood Produced, AU</v>
      </c>
      <c r="E51" t="b">
        <v>0</v>
      </c>
      <c r="F51">
        <v>1</v>
      </c>
    </row>
    <row r="52" spans="2:6" ht="16" customHeight="1">
      <c r="B52" t="s">
        <v>29</v>
      </c>
      <c r="C52" t="str" cm="1">
        <f t="array" ref="C52">$C$30</f>
        <v>Sawnwood manufacturing, AU</v>
      </c>
      <c r="D52" t="str" cm="1">
        <f t="array" ref="D52">C15</f>
        <v>Milling residues, AU</v>
      </c>
      <c r="E52" t="b">
        <v>0</v>
      </c>
      <c r="F52">
        <v>2</v>
      </c>
    </row>
    <row r="54" spans="2:6" ht="16" customHeight="1">
      <c r="B54" t="s">
        <v>29</v>
      </c>
      <c r="C54" t="str" cm="1">
        <f t="array" ref="C54">$C$31</f>
        <v>Panel manufacturing, AU</v>
      </c>
      <c r="D54" t="str" cm="1">
        <f t="array" ref="D54">C11</f>
        <v>Panel mill, AU</v>
      </c>
      <c r="E54" t="b">
        <v>1</v>
      </c>
      <c r="F54">
        <v>1</v>
      </c>
    </row>
    <row r="55" spans="2:6" ht="16" customHeight="1">
      <c r="B55" t="s">
        <v>29</v>
      </c>
      <c r="C55" t="str" cm="1">
        <f t="array" ref="C55">$C$31</f>
        <v>Panel manufacturing, AU</v>
      </c>
      <c r="D55" t="str" cm="1">
        <f t="array" ref="D55">C12</f>
        <v>Panel Produced, AU</v>
      </c>
      <c r="E55" t="b">
        <v>0</v>
      </c>
      <c r="F55">
        <v>1</v>
      </c>
    </row>
    <row r="56" spans="2:6" ht="16" customHeight="1">
      <c r="B56" t="s">
        <v>29</v>
      </c>
      <c r="C56" t="str" cm="1">
        <f t="array" ref="C56">$C$31</f>
        <v>Panel manufacturing, AU</v>
      </c>
      <c r="D56" t="str" cm="1">
        <f t="array" ref="D56">C15</f>
        <v>Milling residues, AU</v>
      </c>
      <c r="E56" t="b">
        <v>0</v>
      </c>
      <c r="F56">
        <v>2</v>
      </c>
    </row>
    <row r="58" spans="2:6" ht="16" customHeight="1">
      <c r="B58" t="s">
        <v>29</v>
      </c>
      <c r="C58" t="str">
        <f>C32</f>
        <v>Pulp and Paper manufacturing, AU</v>
      </c>
      <c r="D58" t="str">
        <f>C15</f>
        <v>Milling residues, AU</v>
      </c>
      <c r="E58" t="b">
        <v>1</v>
      </c>
      <c r="F58">
        <v>1</v>
      </c>
    </row>
    <row r="59" spans="2:6" ht="16" customHeight="1">
      <c r="B59" t="s">
        <v>29</v>
      </c>
      <c r="C59" t="str">
        <f>C32</f>
        <v>Pulp and Paper manufacturing, AU</v>
      </c>
      <c r="D59" t="str">
        <f>C17</f>
        <v>Paper and Paperboard Produced, AU</v>
      </c>
      <c r="E59" t="b">
        <v>0</v>
      </c>
      <c r="F59">
        <v>1</v>
      </c>
    </row>
    <row r="61" spans="2:6" ht="16" customHeight="1">
      <c r="B61" t="s">
        <v>29</v>
      </c>
      <c r="C61" t="str" cm="1">
        <f t="array" ref="C61">$C$33</f>
        <v>Sawnwood Trading, AU</v>
      </c>
      <c r="D61" t="str" cm="1">
        <f t="array" ref="D61">C8</f>
        <v>Sawnwood Produced, AU</v>
      </c>
      <c r="E61" t="b">
        <v>1</v>
      </c>
      <c r="F61">
        <v>1</v>
      </c>
    </row>
    <row r="62" spans="2:6" ht="16" customHeight="1">
      <c r="B62" t="s">
        <v>29</v>
      </c>
      <c r="C62" t="str" cm="1">
        <f t="array" ref="C62">$C$33</f>
        <v>Sawnwood Trading, AU</v>
      </c>
      <c r="D62" t="str" cm="1">
        <f t="array" ref="D62">C9</f>
        <v>Sawnwood Comsumed, AU</v>
      </c>
      <c r="E62" t="b">
        <v>0</v>
      </c>
      <c r="F62">
        <v>1</v>
      </c>
    </row>
    <row r="63" spans="2:6" ht="16" customHeight="1">
      <c r="B63" t="s">
        <v>29</v>
      </c>
      <c r="C63" t="str" cm="1">
        <f t="array" ref="C63">$C$33</f>
        <v>Sawnwood Trading, AU</v>
      </c>
      <c r="D63" t="str">
        <f>'[2]Inputs - Flow Network'!$C$3</f>
        <v>Sawnwood, ID</v>
      </c>
      <c r="E63" t="b">
        <v>0</v>
      </c>
      <c r="F63">
        <v>2</v>
      </c>
    </row>
    <row r="65" spans="2:8" ht="16" customHeight="1">
      <c r="B65" t="s">
        <v>29</v>
      </c>
      <c r="C65" t="str" cm="1">
        <f t="array" ref="C65">$C$34</f>
        <v>Panel Trading, AU</v>
      </c>
      <c r="D65" t="str" cm="1">
        <f t="array" ref="D65">C12</f>
        <v>Panel Produced, AU</v>
      </c>
      <c r="E65" t="b">
        <v>1</v>
      </c>
      <c r="F65">
        <v>1</v>
      </c>
    </row>
    <row r="66" spans="2:8" ht="16" customHeight="1">
      <c r="B66" t="s">
        <v>29</v>
      </c>
      <c r="C66" t="str" cm="1">
        <f t="array" ref="C66">$C$34</f>
        <v>Panel Trading, AU</v>
      </c>
      <c r="D66" t="str" cm="1">
        <f t="array" ref="D66">C13</f>
        <v>Panel Consumed, AU</v>
      </c>
      <c r="E66" t="b">
        <v>0</v>
      </c>
      <c r="F66">
        <v>1</v>
      </c>
    </row>
    <row r="67" spans="2:8" ht="16" customHeight="1">
      <c r="B67" t="s">
        <v>29</v>
      </c>
      <c r="C67" t="str" cm="1">
        <f t="array" ref="C67">$C$34</f>
        <v>Panel Trading, AU</v>
      </c>
      <c r="D67" t="str">
        <f>'[2]Inputs - Flow Network'!$C$4</f>
        <v>Panels, ID</v>
      </c>
      <c r="E67" t="b">
        <v>0</v>
      </c>
      <c r="F67">
        <v>2</v>
      </c>
    </row>
    <row r="69" spans="2:8" ht="16" customHeight="1">
      <c r="B69" t="s">
        <v>29</v>
      </c>
      <c r="C69" t="str" cm="1">
        <f t="array" ref="C69">$C$35</f>
        <v>Paper and Paperboard Trading, AU</v>
      </c>
      <c r="D69" t="str" cm="1">
        <f t="array" ref="D69">C17</f>
        <v>Paper and Paperboard Produced, AU</v>
      </c>
      <c r="E69" t="b">
        <v>1</v>
      </c>
      <c r="F69">
        <v>1</v>
      </c>
    </row>
    <row r="70" spans="2:8" ht="16" customHeight="1">
      <c r="B70" t="s">
        <v>29</v>
      </c>
      <c r="C70" t="str" cm="1">
        <f t="array" ref="C70">$C$35</f>
        <v>Paper and Paperboard Trading, AU</v>
      </c>
      <c r="D70" t="str" cm="1">
        <f t="array" ref="D70">C18</f>
        <v>Paper and Paperboard Consumed, AU</v>
      </c>
      <c r="E70" t="b">
        <v>0</v>
      </c>
      <c r="F70">
        <v>1</v>
      </c>
    </row>
    <row r="71" spans="2:8" ht="16" customHeight="1">
      <c r="B71" t="s">
        <v>29</v>
      </c>
      <c r="C71" t="str" cm="1">
        <f t="array" ref="C71">$C$35</f>
        <v>Paper and Paperboard Trading, AU</v>
      </c>
      <c r="D71" t="str">
        <f>'[2]Inputs - Flow Network'!$C$5</f>
        <v>Paper, ID</v>
      </c>
      <c r="E71" t="b">
        <v>0</v>
      </c>
      <c r="F71">
        <v>2</v>
      </c>
    </row>
    <row r="73" spans="2:8" ht="16" customHeight="1">
      <c r="B73" t="s">
        <v>29</v>
      </c>
      <c r="C73" t="str" cm="1">
        <f t="array" ref="C73">$C$36</f>
        <v>End of Life Processing, AU</v>
      </c>
      <c r="D73" t="str" cm="1">
        <f t="array" ref="D73">C9</f>
        <v>Sawnwood Comsumed, AU</v>
      </c>
      <c r="E73" t="b">
        <v>1</v>
      </c>
      <c r="F73">
        <v>1</v>
      </c>
    </row>
    <row r="74" spans="2:8" ht="16" customHeight="1">
      <c r="B74" t="s">
        <v>29</v>
      </c>
      <c r="C74" t="str" cm="1">
        <f t="array" ref="C74">$C$36</f>
        <v>End of Life Processing, AU</v>
      </c>
      <c r="D74" t="str" cm="1">
        <f t="array" ref="D74">C13</f>
        <v>Panel Consumed, AU</v>
      </c>
      <c r="E74" t="b">
        <v>1</v>
      </c>
      <c r="F74">
        <v>2</v>
      </c>
    </row>
    <row r="75" spans="2:8" ht="16" customHeight="1">
      <c r="B75" t="s">
        <v>29</v>
      </c>
      <c r="C75" t="str" cm="1">
        <f t="array" ref="C75">$C$36</f>
        <v>End of Life Processing, AU</v>
      </c>
      <c r="D75" t="str" cm="1">
        <f t="array" ref="D75">C18</f>
        <v>Paper and Paperboard Consumed, AU</v>
      </c>
      <c r="E75" t="b">
        <v>1</v>
      </c>
      <c r="F75">
        <v>3</v>
      </c>
    </row>
    <row r="76" spans="2:8" ht="16" customHeight="1">
      <c r="B76" t="s">
        <v>29</v>
      </c>
      <c r="C76" t="str" cm="1">
        <f t="array" ref="C76">$C$36</f>
        <v>End of Life Processing, AU</v>
      </c>
      <c r="D76" t="str" cm="1">
        <f t="array" ref="D76">C22</f>
        <v>CO2, AU</v>
      </c>
      <c r="E76" t="b">
        <v>0</v>
      </c>
      <c r="F76">
        <v>1</v>
      </c>
    </row>
    <row r="77" spans="2:8" ht="16" customHeight="1">
      <c r="B77" t="s">
        <v>29</v>
      </c>
      <c r="C77" t="str" cm="1">
        <f t="array" ref="C77">$C$36</f>
        <v>End of Life Processing, AU</v>
      </c>
      <c r="D77" t="str" cm="1">
        <f t="array" ref="D77">C23</f>
        <v>CH4, AU</v>
      </c>
      <c r="E77" t="b">
        <v>0</v>
      </c>
      <c r="F77">
        <v>2</v>
      </c>
    </row>
    <row r="78" spans="2:8" ht="16" customHeight="1">
      <c r="B78" t="s">
        <v>29</v>
      </c>
      <c r="C78" t="str" cm="1">
        <f t="array" ref="C78">$C$36</f>
        <v>End of Life Processing, AU</v>
      </c>
      <c r="D78" t="str" cm="1">
        <f t="array" ref="D78">C24</f>
        <v>Other gases, AU</v>
      </c>
      <c r="E78" t="b">
        <v>0</v>
      </c>
      <c r="F78">
        <v>3</v>
      </c>
    </row>
    <row r="80" spans="2:8" s="3" customFormat="1" ht="16" customHeight="1">
      <c r="B80" s="2" t="s">
        <v>30</v>
      </c>
      <c r="C80" s="2" t="s">
        <v>1</v>
      </c>
      <c r="D80" s="2" t="s">
        <v>31</v>
      </c>
      <c r="E80" s="2" t="s">
        <v>19</v>
      </c>
      <c r="F80" s="3" t="s">
        <v>32</v>
      </c>
      <c r="G80" s="3" t="s">
        <v>33</v>
      </c>
      <c r="H80" s="3" t="s">
        <v>34</v>
      </c>
    </row>
    <row r="82" spans="2:10" ht="16" customHeight="1">
      <c r="B82" t="s">
        <v>35</v>
      </c>
      <c r="C82" t="str">
        <f>"Roundwood Trading Allocations, "&amp;'Inputs - Spatial'!C10</f>
        <v>Roundwood Trading Allocations, AU</v>
      </c>
      <c r="D82" t="str" cm="1">
        <f t="array" ref="D82">C28</f>
        <v>Roundwood Trading, AU</v>
      </c>
      <c r="E82" t="str">
        <f>'Inputs - Spatial'!$C$10</f>
        <v>AU</v>
      </c>
    </row>
    <row r="83" spans="2:10" ht="16" customHeight="1">
      <c r="B83" t="s">
        <v>35</v>
      </c>
      <c r="C83" t="str">
        <f>"Roundwood value-adding Allocations, "&amp;'Inputs - Spatial'!C10</f>
        <v>Roundwood value-adding Allocations, AU</v>
      </c>
      <c r="D83" t="str" cm="1">
        <f t="array" ref="D83">C29</f>
        <v>Roundwood value-adding, AU</v>
      </c>
      <c r="E83" t="str">
        <f>'Inputs - Spatial'!$C$10</f>
        <v>AU</v>
      </c>
    </row>
    <row r="84" spans="2:10" ht="16" customHeight="1">
      <c r="B84" t="s">
        <v>35</v>
      </c>
      <c r="C84" t="str">
        <f>"Sawnwood manufacturing Allocations, "&amp;'Inputs - Spatial'!C10</f>
        <v>Sawnwood manufacturing Allocations, AU</v>
      </c>
      <c r="D84" t="str" cm="1">
        <f t="array" ref="D84">C30</f>
        <v>Sawnwood manufacturing, AU</v>
      </c>
      <c r="E84" t="str">
        <f>'Inputs - Spatial'!$C$10</f>
        <v>AU</v>
      </c>
    </row>
    <row r="85" spans="2:10" ht="16" customHeight="1">
      <c r="B85" t="s">
        <v>35</v>
      </c>
      <c r="C85" t="str">
        <f>"Panel manufacturing Allocations, "&amp;'Inputs - Spatial'!C10</f>
        <v>Panel manufacturing Allocations, AU</v>
      </c>
      <c r="D85" t="str" cm="1">
        <f t="array" ref="D85">C31</f>
        <v>Panel manufacturing, AU</v>
      </c>
      <c r="E85" t="str">
        <f>'Inputs - Spatial'!$C$10</f>
        <v>AU</v>
      </c>
    </row>
    <row r="86" spans="2:10" ht="16" customHeight="1">
      <c r="B86" t="s">
        <v>35</v>
      </c>
      <c r="C86" t="str">
        <f>"Sawnwood Trading Allocations, "&amp;'Inputs - Spatial'!C10</f>
        <v>Sawnwood Trading Allocations, AU</v>
      </c>
      <c r="D86" t="str" cm="1">
        <f t="array" ref="D86">C33</f>
        <v>Sawnwood Trading, AU</v>
      </c>
      <c r="E86" t="str">
        <f>'Inputs - Spatial'!$C$10</f>
        <v>AU</v>
      </c>
    </row>
    <row r="87" spans="2:10" ht="16" customHeight="1">
      <c r="B87" t="s">
        <v>35</v>
      </c>
      <c r="C87" t="str">
        <f>"Panel Trading Allocations, "&amp;'Inputs - Spatial'!C10</f>
        <v>Panel Trading Allocations, AU</v>
      </c>
      <c r="D87" t="str" cm="1">
        <f t="array" ref="D87">C34</f>
        <v>Panel Trading, AU</v>
      </c>
      <c r="E87" t="str">
        <f>'Inputs - Spatial'!$C$10</f>
        <v>AU</v>
      </c>
    </row>
    <row r="88" spans="2:10" ht="16" customHeight="1">
      <c r="B88" t="s">
        <v>35</v>
      </c>
      <c r="C88" t="str">
        <f>"Paper and Paperboard Trading Allocations, "&amp;'Inputs - Spatial'!C10</f>
        <v>Paper and Paperboard Trading Allocations, AU</v>
      </c>
      <c r="D88" t="str" cm="1">
        <f t="array" ref="D88">C35</f>
        <v>Paper and Paperboard Trading, AU</v>
      </c>
      <c r="E88" t="str">
        <f>'Inputs - Spatial'!$C$10</f>
        <v>AU</v>
      </c>
    </row>
    <row r="89" spans="2:10" ht="16" customHeight="1">
      <c r="B89" t="s">
        <v>35</v>
      </c>
      <c r="C89" t="str">
        <f>"End of Life Processing Allocations, "&amp;'Inputs - Spatial'!C10</f>
        <v>End of Life Processing Allocations, AU</v>
      </c>
      <c r="D89" t="str" cm="1">
        <f t="array" ref="D89">C36</f>
        <v>End of Life Processing, AU</v>
      </c>
      <c r="E89" t="str">
        <f>'Inputs - Spatial'!$C$10</f>
        <v>AU</v>
      </c>
    </row>
    <row r="90" spans="2:10" ht="16" customHeight="1">
      <c r="B90" t="s">
        <v>35</v>
      </c>
      <c r="C90" t="str">
        <f>"Pulp and Paper manufacturing Allocations, "&amp;'Inputs - Spatial'!C10</f>
        <v>Pulp and Paper manufacturing Allocations, AU</v>
      </c>
      <c r="D90" t="str">
        <f>C32</f>
        <v>Pulp and Paper manufacturing, AU</v>
      </c>
      <c r="E90" t="str">
        <f>'Inputs - Spatial'!$C$10</f>
        <v>AU</v>
      </c>
    </row>
    <row r="92" spans="2:10" s="3" customFormat="1" ht="16" customHeight="1">
      <c r="B92" s="2" t="s">
        <v>36</v>
      </c>
      <c r="C92" s="2" t="s">
        <v>37</v>
      </c>
      <c r="D92" s="2" t="s">
        <v>27</v>
      </c>
      <c r="E92" s="2" t="s">
        <v>38</v>
      </c>
      <c r="F92" s="3" t="s">
        <v>39</v>
      </c>
      <c r="G92" s="3" t="s">
        <v>40</v>
      </c>
      <c r="H92" s="3" t="s">
        <v>41</v>
      </c>
      <c r="I92" s="3" t="s">
        <v>42</v>
      </c>
      <c r="J92" s="3" t="s">
        <v>43</v>
      </c>
    </row>
    <row r="94" spans="2:10" ht="16" customHeight="1">
      <c r="B94" t="s">
        <v>44</v>
      </c>
      <c r="C94" t="str" cm="1">
        <f t="array" ref="C94">C82</f>
        <v>Roundwood Trading Allocations, AU</v>
      </c>
      <c r="D94">
        <v>1</v>
      </c>
      <c r="E94">
        <v>0.5</v>
      </c>
    </row>
    <row r="95" spans="2:10" ht="16" customHeight="1">
      <c r="B95" t="s">
        <v>44</v>
      </c>
      <c r="C95" t="str" cm="1">
        <f t="array" ref="C95">C82</f>
        <v>Roundwood Trading Allocations, AU</v>
      </c>
      <c r="D95">
        <v>2</v>
      </c>
      <c r="E95">
        <v>0.5</v>
      </c>
    </row>
    <row r="97" spans="2:5" ht="16" customHeight="1">
      <c r="B97" t="s">
        <v>44</v>
      </c>
      <c r="C97" t="str" cm="1">
        <f t="array" ref="C97">C83</f>
        <v>Roundwood value-adding Allocations, AU</v>
      </c>
      <c r="D97">
        <v>1</v>
      </c>
      <c r="E97">
        <v>0.75</v>
      </c>
    </row>
    <row r="98" spans="2:5" ht="16" customHeight="1">
      <c r="B98" t="s">
        <v>44</v>
      </c>
      <c r="C98" t="str" cm="1">
        <f t="array" ref="C98">C83</f>
        <v>Roundwood value-adding Allocations, AU</v>
      </c>
      <c r="D98">
        <v>2</v>
      </c>
      <c r="E98">
        <v>0.25</v>
      </c>
    </row>
    <row r="100" spans="2:5" ht="16" customHeight="1">
      <c r="B100" t="s">
        <v>44</v>
      </c>
      <c r="C100" t="str" cm="1">
        <f t="array" ref="C100">C84</f>
        <v>Sawnwood manufacturing Allocations, AU</v>
      </c>
      <c r="D100">
        <v>1</v>
      </c>
      <c r="E100">
        <v>0.5</v>
      </c>
    </row>
    <row r="101" spans="2:5" ht="16" customHeight="1">
      <c r="B101" t="s">
        <v>44</v>
      </c>
      <c r="C101" t="str" cm="1">
        <f t="array" ref="C101">C84</f>
        <v>Sawnwood manufacturing Allocations, AU</v>
      </c>
      <c r="D101">
        <v>2</v>
      </c>
      <c r="E101">
        <v>0.5</v>
      </c>
    </row>
    <row r="103" spans="2:5" ht="16" customHeight="1">
      <c r="B103" t="s">
        <v>44</v>
      </c>
      <c r="C103" t="str" cm="1">
        <f t="array" ref="C103">C85</f>
        <v>Panel manufacturing Allocations, AU</v>
      </c>
      <c r="D103">
        <v>1</v>
      </c>
      <c r="E103">
        <v>0.98</v>
      </c>
    </row>
    <row r="104" spans="2:5" ht="16" customHeight="1">
      <c r="B104" t="s">
        <v>44</v>
      </c>
      <c r="C104" t="str" cm="1">
        <f t="array" ref="C104">C85</f>
        <v>Panel manufacturing Allocations, AU</v>
      </c>
      <c r="D104">
        <v>2</v>
      </c>
      <c r="E104">
        <v>0.02</v>
      </c>
    </row>
    <row r="106" spans="2:5" ht="16" customHeight="1">
      <c r="B106" t="s">
        <v>44</v>
      </c>
      <c r="C106" t="str" cm="1">
        <f t="array" ref="C106">C86</f>
        <v>Sawnwood Trading Allocations, AU</v>
      </c>
      <c r="D106">
        <v>1</v>
      </c>
      <c r="E106">
        <v>0.75</v>
      </c>
    </row>
    <row r="107" spans="2:5" ht="16" customHeight="1">
      <c r="B107" t="s">
        <v>44</v>
      </c>
      <c r="C107" t="str" cm="1">
        <f t="array" ref="C107">C86</f>
        <v>Sawnwood Trading Allocations, AU</v>
      </c>
      <c r="D107">
        <v>2</v>
      </c>
      <c r="E107">
        <v>0.25</v>
      </c>
    </row>
    <row r="109" spans="2:5" ht="16" customHeight="1">
      <c r="B109" t="s">
        <v>44</v>
      </c>
      <c r="C109" t="str" cm="1">
        <f t="array" ref="C109">C87</f>
        <v>Panel Trading Allocations, AU</v>
      </c>
      <c r="D109">
        <v>1</v>
      </c>
      <c r="E109">
        <v>0.75</v>
      </c>
    </row>
    <row r="110" spans="2:5" ht="16" customHeight="1">
      <c r="B110" t="s">
        <v>44</v>
      </c>
      <c r="C110" t="str" cm="1">
        <f t="array" ref="C110">C87</f>
        <v>Panel Trading Allocations, AU</v>
      </c>
      <c r="D110">
        <v>2</v>
      </c>
      <c r="E110">
        <v>0.25</v>
      </c>
    </row>
    <row r="112" spans="2:5" ht="16" customHeight="1">
      <c r="B112" t="s">
        <v>44</v>
      </c>
      <c r="C112" t="str" cm="1">
        <f t="array" ref="C112">C88</f>
        <v>Paper and Paperboard Trading Allocations, AU</v>
      </c>
      <c r="D112">
        <v>1</v>
      </c>
      <c r="E112">
        <v>0.75</v>
      </c>
    </row>
    <row r="113" spans="2:5" ht="16" customHeight="1">
      <c r="B113" t="s">
        <v>44</v>
      </c>
      <c r="C113" t="str" cm="1">
        <f t="array" ref="C113">C88</f>
        <v>Paper and Paperboard Trading Allocations, AU</v>
      </c>
      <c r="D113">
        <v>2</v>
      </c>
      <c r="E113">
        <v>0.25</v>
      </c>
    </row>
    <row r="115" spans="2:5" ht="16" customHeight="1">
      <c r="B115" t="s">
        <v>44</v>
      </c>
      <c r="C115" t="str" cm="1">
        <f t="array" ref="C115">C89</f>
        <v>End of Life Processing Allocations, AU</v>
      </c>
      <c r="D115">
        <v>1</v>
      </c>
      <c r="E115">
        <v>0.5</v>
      </c>
    </row>
    <row r="116" spans="2:5" ht="16" customHeight="1">
      <c r="B116" t="s">
        <v>44</v>
      </c>
      <c r="C116" t="str" cm="1">
        <f t="array" ref="C116">C89</f>
        <v>End of Life Processing Allocations, AU</v>
      </c>
      <c r="D116">
        <v>2</v>
      </c>
      <c r="E116">
        <v>0.5</v>
      </c>
    </row>
    <row r="117" spans="2:5" ht="16" customHeight="1">
      <c r="B117" t="s">
        <v>44</v>
      </c>
      <c r="C117" t="str" cm="1">
        <f t="array" ref="C117">C89</f>
        <v>End of Life Processing Allocations, AU</v>
      </c>
      <c r="D117">
        <v>3</v>
      </c>
      <c r="E117">
        <v>0</v>
      </c>
    </row>
    <row r="119" spans="2:5" ht="16" customHeight="1">
      <c r="B119" t="s">
        <v>44</v>
      </c>
      <c r="C119" t="str">
        <f>C90</f>
        <v>Pulp and Paper manufacturing Allocations, AU</v>
      </c>
      <c r="D119">
        <v>1</v>
      </c>
      <c r="E119">
        <v>1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2807-D21A-1A49-9C05-E8FAC8B5CEA8}">
  <dimension ref="B1:K3"/>
  <sheetViews>
    <sheetView workbookViewId="0">
      <selection activeCell="C3" sqref="C3"/>
    </sheetView>
  </sheetViews>
  <sheetFormatPr baseColWidth="10" defaultRowHeight="16"/>
  <cols>
    <col min="2" max="2" width="19.28515625" bestFit="1" customWidth="1"/>
    <col min="3" max="3" width="22" bestFit="1" customWidth="1"/>
    <col min="4" max="4" width="12.7109375" bestFit="1" customWidth="1"/>
    <col min="5" max="5" width="17.7109375" bestFit="1" customWidth="1"/>
    <col min="6" max="6" width="21.5703125" bestFit="1" customWidth="1"/>
    <col min="7" max="7" width="19.85546875" bestFit="1" customWidth="1"/>
    <col min="8" max="10" width="10" bestFit="1" customWidth="1"/>
    <col min="11" max="11" width="9.7109375" bestFit="1" customWidth="1"/>
  </cols>
  <sheetData>
    <row r="1" spans="2:11" s="3" customFormat="1">
      <c r="B1" s="2" t="s">
        <v>45</v>
      </c>
      <c r="C1" s="2" t="s">
        <v>46</v>
      </c>
      <c r="D1" s="3" t="s">
        <v>47</v>
      </c>
      <c r="E1" s="2" t="s">
        <v>48</v>
      </c>
      <c r="F1" s="2" t="s">
        <v>49</v>
      </c>
      <c r="G1" s="2" t="s">
        <v>50</v>
      </c>
      <c r="H1" s="3" t="s">
        <v>51</v>
      </c>
      <c r="I1" s="3" t="s">
        <v>51</v>
      </c>
      <c r="J1" s="3" t="s">
        <v>51</v>
      </c>
      <c r="K1" s="3" t="s">
        <v>34</v>
      </c>
    </row>
    <row r="3" spans="2:11">
      <c r="B3" t="s">
        <v>52</v>
      </c>
      <c r="C3" t="str">
        <f>'Inputs - Flow Network'!C3</f>
        <v>Roundwood Harvested, AU</v>
      </c>
      <c r="E3" t="str">
        <f>'Inputs - Categorical'!C3</f>
        <v>Roundwood</v>
      </c>
      <c r="F3" s="4">
        <v>100</v>
      </c>
      <c r="G3">
        <v>1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C481-AC22-9A46-B3DF-F781248D750D}">
  <dimension ref="A1:G15"/>
  <sheetViews>
    <sheetView workbookViewId="0">
      <selection activeCell="A5" sqref="A5"/>
    </sheetView>
  </sheetViews>
  <sheetFormatPr baseColWidth="10" defaultRowHeight="16"/>
  <cols>
    <col min="1" max="1" width="9.7109375" bestFit="1" customWidth="1"/>
    <col min="2" max="2" width="39" bestFit="1" customWidth="1"/>
    <col min="3" max="3" width="18.140625" bestFit="1" customWidth="1"/>
    <col min="4" max="4" width="17.7109375" bestFit="1" customWidth="1"/>
    <col min="5" max="5" width="16.28515625" customWidth="1"/>
    <col min="6" max="6" width="8.5703125" bestFit="1" customWidth="1"/>
    <col min="7" max="7" width="9.7109375" bestFit="1" customWidth="1"/>
  </cols>
  <sheetData>
    <row r="1" spans="1:7" s="3" customFormat="1">
      <c r="B1" s="2" t="s">
        <v>56</v>
      </c>
      <c r="C1" s="2" t="s">
        <v>1</v>
      </c>
      <c r="D1" s="3" t="s">
        <v>57</v>
      </c>
    </row>
    <row r="3" spans="1:7">
      <c r="A3" t="s">
        <v>99</v>
      </c>
      <c r="B3" t="s">
        <v>58</v>
      </c>
      <c r="C3" t="s">
        <v>59</v>
      </c>
    </row>
    <row r="5" spans="1:7" s="3" customFormat="1">
      <c r="B5" s="2" t="s">
        <v>60</v>
      </c>
      <c r="C5" s="2" t="s">
        <v>1</v>
      </c>
      <c r="D5" s="3" t="s">
        <v>33</v>
      </c>
      <c r="E5" s="3" t="s">
        <v>34</v>
      </c>
    </row>
    <row r="7" spans="1:7" s="3" customFormat="1">
      <c r="B7" s="2" t="s">
        <v>61</v>
      </c>
      <c r="C7" s="2" t="s">
        <v>62</v>
      </c>
      <c r="D7" s="2" t="s">
        <v>63</v>
      </c>
    </row>
    <row r="9" spans="1:7" s="3" customFormat="1">
      <c r="B9" s="2" t="s">
        <v>64</v>
      </c>
      <c r="C9" s="2" t="s">
        <v>1</v>
      </c>
      <c r="D9" s="3" t="s">
        <v>65</v>
      </c>
      <c r="E9" s="3" t="s">
        <v>66</v>
      </c>
      <c r="F9" s="3" t="s">
        <v>33</v>
      </c>
      <c r="G9" s="3" t="s">
        <v>34</v>
      </c>
    </row>
    <row r="11" spans="1:7" s="3" customFormat="1">
      <c r="B11" s="2" t="s">
        <v>67</v>
      </c>
      <c r="C11" s="2" t="s">
        <v>1</v>
      </c>
      <c r="D11" s="3" t="s">
        <v>33</v>
      </c>
      <c r="E11" s="3" t="s">
        <v>34</v>
      </c>
    </row>
    <row r="13" spans="1:7" s="3" customFormat="1">
      <c r="B13" s="2" t="s">
        <v>68</v>
      </c>
      <c r="C13" s="2" t="s">
        <v>69</v>
      </c>
      <c r="D13" s="2" t="s">
        <v>70</v>
      </c>
    </row>
    <row r="15" spans="1:7" s="3" customFormat="1">
      <c r="B15" s="2" t="s">
        <v>71</v>
      </c>
      <c r="C15" s="3" t="s">
        <v>1</v>
      </c>
      <c r="D15" s="3" t="s">
        <v>72</v>
      </c>
      <c r="E15" s="3" t="s">
        <v>34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1371-E34C-304D-96EB-69089F5BDB42}">
  <dimension ref="B1:H13"/>
  <sheetViews>
    <sheetView workbookViewId="0">
      <selection activeCell="C7" sqref="C7"/>
    </sheetView>
  </sheetViews>
  <sheetFormatPr baseColWidth="10" defaultRowHeight="16"/>
  <cols>
    <col min="1" max="1" width="9.7109375" bestFit="1" customWidth="1"/>
    <col min="2" max="2" width="27.5703125" bestFit="1" customWidth="1"/>
    <col min="3" max="3" width="15.5703125" bestFit="1" customWidth="1"/>
    <col min="4" max="4" width="20.28515625" bestFit="1" customWidth="1"/>
    <col min="5" max="5" width="23.7109375" bestFit="1" customWidth="1"/>
    <col min="6" max="6" width="13.5703125" customWidth="1"/>
    <col min="7" max="7" width="12.7109375" customWidth="1"/>
    <col min="8" max="8" width="20.28515625" customWidth="1"/>
  </cols>
  <sheetData>
    <row r="1" spans="2:8" s="3" customFormat="1">
      <c r="B1" s="2" t="s">
        <v>73</v>
      </c>
      <c r="C1" s="2" t="s">
        <v>74</v>
      </c>
      <c r="D1" s="3" t="s">
        <v>1</v>
      </c>
      <c r="E1" s="2" t="s">
        <v>75</v>
      </c>
      <c r="F1" s="3" t="s">
        <v>86</v>
      </c>
      <c r="G1" s="3" t="s">
        <v>87</v>
      </c>
      <c r="H1" s="3" t="s">
        <v>34</v>
      </c>
    </row>
    <row r="2" spans="2:8">
      <c r="B2" t="s">
        <v>76</v>
      </c>
      <c r="C2">
        <v>61</v>
      </c>
      <c r="D2" t="s">
        <v>100</v>
      </c>
      <c r="E2">
        <v>1</v>
      </c>
    </row>
    <row r="5" spans="2:8" s="3" customFormat="1">
      <c r="B5" s="2" t="s">
        <v>77</v>
      </c>
      <c r="C5" s="2" t="s">
        <v>1</v>
      </c>
    </row>
    <row r="6" spans="2:8">
      <c r="B6" t="s">
        <v>78</v>
      </c>
      <c r="C6" t="s">
        <v>79</v>
      </c>
    </row>
    <row r="8" spans="2:8" s="3" customFormat="1">
      <c r="B8" s="2" t="s">
        <v>80</v>
      </c>
      <c r="C8" s="2" t="s">
        <v>1</v>
      </c>
      <c r="D8" s="2" t="s">
        <v>81</v>
      </c>
      <c r="E8" s="3" t="s">
        <v>34</v>
      </c>
    </row>
    <row r="10" spans="2:8">
      <c r="B10" t="s">
        <v>82</v>
      </c>
      <c r="C10" t="s">
        <v>100</v>
      </c>
      <c r="D10" t="str">
        <f>C6</f>
        <v>Nation</v>
      </c>
    </row>
    <row r="12" spans="2:8" s="3" customFormat="1">
      <c r="B12" s="2" t="s">
        <v>83</v>
      </c>
      <c r="C12" s="1" t="s">
        <v>19</v>
      </c>
      <c r="D12" s="2" t="s">
        <v>84</v>
      </c>
      <c r="E12" s="3" t="s">
        <v>88</v>
      </c>
    </row>
    <row r="13" spans="2:8">
      <c r="B13" t="s">
        <v>85</v>
      </c>
      <c r="C13" t="str">
        <f>C10</f>
        <v>AU</v>
      </c>
      <c r="D13">
        <f>C2</f>
        <v>61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8909-7DF6-1B4A-B922-CF23C08FA7A6}">
  <dimension ref="B1:F7"/>
  <sheetViews>
    <sheetView workbookViewId="0">
      <selection activeCell="C19" sqref="C19"/>
    </sheetView>
  </sheetViews>
  <sheetFormatPr baseColWidth="10" defaultRowHeight="16"/>
  <cols>
    <col min="1" max="1" width="9.7109375" bestFit="1" customWidth="1"/>
    <col min="2" max="2" width="35.140625" customWidth="1"/>
    <col min="3" max="4" width="35.28515625" bestFit="1" customWidth="1"/>
    <col min="5" max="5" width="22.28515625" bestFit="1" customWidth="1"/>
    <col min="6" max="6" width="18.5703125" bestFit="1" customWidth="1"/>
  </cols>
  <sheetData>
    <row r="1" spans="2:6" s="3" customFormat="1">
      <c r="B1" s="2" t="s">
        <v>89</v>
      </c>
      <c r="C1" s="2" t="s">
        <v>1</v>
      </c>
      <c r="D1" s="3" t="s">
        <v>98</v>
      </c>
      <c r="E1" s="3" t="s">
        <v>33</v>
      </c>
      <c r="F1" s="3" t="s">
        <v>34</v>
      </c>
    </row>
    <row r="3" spans="2:6" s="3" customFormat="1">
      <c r="B3" s="2" t="s">
        <v>90</v>
      </c>
      <c r="C3" s="2" t="s">
        <v>1</v>
      </c>
      <c r="D3" s="3" t="s">
        <v>33</v>
      </c>
      <c r="E3" s="3" t="s">
        <v>34</v>
      </c>
    </row>
    <row r="5" spans="2:6" s="3" customFormat="1">
      <c r="B5" s="2" t="s">
        <v>91</v>
      </c>
      <c r="C5" s="2" t="s">
        <v>92</v>
      </c>
      <c r="D5" s="2" t="s">
        <v>93</v>
      </c>
      <c r="E5" s="2" t="s">
        <v>19</v>
      </c>
      <c r="F5" s="2" t="s">
        <v>94</v>
      </c>
    </row>
    <row r="7" spans="2:6" s="3" customFormat="1">
      <c r="B7" s="2" t="s">
        <v>95</v>
      </c>
      <c r="C7" s="2" t="s">
        <v>93</v>
      </c>
      <c r="D7" s="2" t="s">
        <v>96</v>
      </c>
      <c r="E7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Carbon Mass</vt:lpstr>
      <vt:lpstr>Inputs - Categorical</vt:lpstr>
      <vt:lpstr>Inputs - Spatial</vt:lpstr>
      <vt:lpstr>Inputs -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H. Xie</dc:creator>
  <cp:lastModifiedBy>Sheng H. Xie</cp:lastModifiedBy>
  <dcterms:created xsi:type="dcterms:W3CDTF">2026-01-04T10:59:27Z</dcterms:created>
  <dcterms:modified xsi:type="dcterms:W3CDTF">2026-03-20T23:41:46Z</dcterms:modified>
</cp:coreProperties>
</file>