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hxie/projects/anse-models/demo-au/"/>
    </mc:Choice>
  </mc:AlternateContent>
  <xr:revisionPtr revIDLastSave="0" documentId="13_ncr:1_{530F2E96-FA36-9D47-B192-F8B122DA4004}" xr6:coauthVersionLast="47" xr6:coauthVersionMax="47" xr10:uidLastSave="{00000000-0000-0000-0000-000000000000}"/>
  <bookViews>
    <workbookView xWindow="0" yWindow="600" windowWidth="30480" windowHeight="21360" tabRatio="500" xr2:uid="{00000000-000D-0000-FFFF-FFFF00000000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Curves" sheetId="5" r:id="rId5"/>
  </sheets>
  <externalReferences>
    <externalReference r:id="rId6"/>
    <externalReference r:id="rId7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4" l="1"/>
  <c r="C13" i="4"/>
  <c r="D10" i="4"/>
  <c r="E3" i="2"/>
  <c r="C121" i="1"/>
  <c r="C115" i="1" a="1"/>
  <c r="C115" i="1"/>
  <c r="C109" i="1" a="1"/>
  <c r="C109" i="1"/>
  <c r="C103" i="1" a="1"/>
  <c r="C103" i="1"/>
  <c r="C97" i="1" a="1"/>
  <c r="C97" i="1"/>
  <c r="E92" i="1"/>
  <c r="C92" i="1"/>
  <c r="E91" i="1"/>
  <c r="C91" i="1"/>
  <c r="C118" i="1" s="1" a="1"/>
  <c r="C118" i="1" s="1"/>
  <c r="E90" i="1"/>
  <c r="C90" i="1"/>
  <c r="C114" i="1" s="1" a="1"/>
  <c r="C114" i="1" s="1"/>
  <c r="E89" i="1"/>
  <c r="D89" i="1" a="1"/>
  <c r="D89" i="1"/>
  <c r="C89" i="1"/>
  <c r="C112" i="1" s="1" a="1"/>
  <c r="C112" i="1" s="1"/>
  <c r="E88" i="1"/>
  <c r="C88" i="1"/>
  <c r="C108" i="1" s="1" a="1"/>
  <c r="C108" i="1" s="1"/>
  <c r="E87" i="1"/>
  <c r="C87" i="1"/>
  <c r="C106" i="1" s="1" a="1"/>
  <c r="C106" i="1" s="1"/>
  <c r="E86" i="1"/>
  <c r="C86" i="1"/>
  <c r="C102" i="1" s="1" a="1"/>
  <c r="C102" i="1" s="1"/>
  <c r="E85" i="1"/>
  <c r="D85" i="1" a="1"/>
  <c r="D85" i="1"/>
  <c r="C85" i="1"/>
  <c r="C100" i="1" s="1" a="1"/>
  <c r="C100" i="1" s="1"/>
  <c r="E84" i="1"/>
  <c r="C84" i="1"/>
  <c r="C96" i="1" s="1" a="1"/>
  <c r="C96" i="1" s="1"/>
  <c r="E80" i="1"/>
  <c r="E79" i="1"/>
  <c r="E78" i="1"/>
  <c r="E77" i="1"/>
  <c r="E76" i="1"/>
  <c r="E75" i="1"/>
  <c r="D75" i="1" a="1"/>
  <c r="D75" i="1" s="1"/>
  <c r="E73" i="1"/>
  <c r="D73" i="1"/>
  <c r="E72" i="1"/>
  <c r="E71" i="1"/>
  <c r="C71" i="1" a="1"/>
  <c r="C71" i="1" s="1"/>
  <c r="E69" i="1"/>
  <c r="D69" i="1"/>
  <c r="E68" i="1"/>
  <c r="D68" i="1" a="1"/>
  <c r="D68" i="1"/>
  <c r="C68" i="1" a="1"/>
  <c r="C68" i="1"/>
  <c r="E67" i="1"/>
  <c r="C67" i="1" a="1"/>
  <c r="C67" i="1"/>
  <c r="E65" i="1"/>
  <c r="D65" i="1"/>
  <c r="C65" i="1" a="1"/>
  <c r="C65" i="1" s="1"/>
  <c r="E64" i="1"/>
  <c r="C64" i="1" a="1"/>
  <c r="C64" i="1"/>
  <c r="E63" i="1"/>
  <c r="D63" i="1" a="1"/>
  <c r="D63" i="1" s="1"/>
  <c r="E61" i="1"/>
  <c r="E60" i="1"/>
  <c r="E58" i="1"/>
  <c r="E57" i="1"/>
  <c r="D57" i="1" a="1"/>
  <c r="D57" i="1" s="1"/>
  <c r="E56" i="1"/>
  <c r="E54" i="1"/>
  <c r="C54" i="1" a="1"/>
  <c r="C54" i="1"/>
  <c r="E53" i="1"/>
  <c r="D53" i="1" a="1"/>
  <c r="D53" i="1"/>
  <c r="E52" i="1"/>
  <c r="C52" i="1" a="1"/>
  <c r="C52" i="1" s="1"/>
  <c r="E50" i="1"/>
  <c r="E49" i="1"/>
  <c r="D49" i="1" a="1"/>
  <c r="D49" i="1" s="1"/>
  <c r="C49" i="1" a="1"/>
  <c r="C49" i="1" s="1"/>
  <c r="E48" i="1"/>
  <c r="D48" i="1" a="1"/>
  <c r="D48" i="1"/>
  <c r="C48" i="1" a="1"/>
  <c r="C48" i="1"/>
  <c r="E46" i="1"/>
  <c r="D46" i="1"/>
  <c r="E45" i="1"/>
  <c r="D45" i="1" a="1"/>
  <c r="D45" i="1"/>
  <c r="C45" i="1" a="1"/>
  <c r="C45" i="1" s="1"/>
  <c r="E44" i="1"/>
  <c r="E38" i="1"/>
  <c r="C38" i="1"/>
  <c r="C78" i="1" s="1" a="1"/>
  <c r="C78" i="1" s="1"/>
  <c r="E37" i="1"/>
  <c r="C37" i="1"/>
  <c r="D90" i="1" s="1" a="1"/>
  <c r="D90" i="1" s="1"/>
  <c r="E36" i="1"/>
  <c r="C36" i="1"/>
  <c r="C69" i="1" s="1" a="1"/>
  <c r="C69" i="1" s="1"/>
  <c r="E35" i="1"/>
  <c r="C35" i="1"/>
  <c r="D88" i="1" s="1" a="1"/>
  <c r="D88" i="1" s="1"/>
  <c r="E34" i="1"/>
  <c r="C34" i="1"/>
  <c r="C60" i="1" s="1"/>
  <c r="E33" i="1"/>
  <c r="C33" i="1"/>
  <c r="D87" i="1" s="1" a="1"/>
  <c r="D87" i="1" s="1"/>
  <c r="E32" i="1"/>
  <c r="C32" i="1"/>
  <c r="D86" i="1" s="1" a="1"/>
  <c r="D86" i="1" s="1"/>
  <c r="E31" i="1"/>
  <c r="C31" i="1"/>
  <c r="C50" i="1" s="1" a="1"/>
  <c r="C50" i="1" s="1"/>
  <c r="E30" i="1"/>
  <c r="C30" i="1"/>
  <c r="D84" i="1" s="1" a="1"/>
  <c r="D84" i="1" s="1"/>
  <c r="D26" i="1"/>
  <c r="C26" i="1"/>
  <c r="D80" i="1" s="1" a="1"/>
  <c r="D80" i="1" s="1"/>
  <c r="D25" i="1"/>
  <c r="C25" i="1"/>
  <c r="D79" i="1" s="1" a="1"/>
  <c r="D79" i="1" s="1"/>
  <c r="D24" i="1"/>
  <c r="C24" i="1"/>
  <c r="D78" i="1" s="1" a="1"/>
  <c r="D78" i="1" s="1"/>
  <c r="D22" i="1"/>
  <c r="C22" i="1"/>
  <c r="D21" i="1"/>
  <c r="C21" i="1"/>
  <c r="D20" i="1"/>
  <c r="C20" i="1"/>
  <c r="D18" i="1"/>
  <c r="C18" i="1"/>
  <c r="D77" i="1" s="1" a="1"/>
  <c r="D77" i="1" s="1"/>
  <c r="D17" i="1"/>
  <c r="C17" i="1"/>
  <c r="D61" i="1" s="1"/>
  <c r="D15" i="1"/>
  <c r="C15" i="1"/>
  <c r="D54" i="1" s="1" a="1"/>
  <c r="D54" i="1" s="1"/>
  <c r="D13" i="1"/>
  <c r="C13" i="1"/>
  <c r="D76" i="1" s="1" a="1"/>
  <c r="D76" i="1" s="1"/>
  <c r="D12" i="1"/>
  <c r="C12" i="1"/>
  <c r="D67" i="1" s="1" a="1"/>
  <c r="D67" i="1" s="1"/>
  <c r="D11" i="1"/>
  <c r="C11" i="1"/>
  <c r="D50" i="1" s="1" a="1"/>
  <c r="D50" i="1" s="1"/>
  <c r="D9" i="1"/>
  <c r="C9" i="1"/>
  <c r="D64" i="1" s="1" a="1"/>
  <c r="D64" i="1" s="1"/>
  <c r="D8" i="1"/>
  <c r="C8" i="1"/>
  <c r="D7" i="1"/>
  <c r="C7" i="1"/>
  <c r="D52" i="1" s="1" a="1"/>
  <c r="D52" i="1" s="1"/>
  <c r="J5" i="1"/>
  <c r="D5" i="1"/>
  <c r="C5" i="1"/>
  <c r="J4" i="1"/>
  <c r="D4" i="1"/>
  <c r="C4" i="1"/>
  <c r="J3" i="1"/>
  <c r="D3" i="1"/>
  <c r="C3" i="1"/>
  <c r="D44" i="1" s="1" a="1"/>
  <c r="D44" i="1" s="1"/>
  <c r="D60" i="1" l="1"/>
  <c r="C75" i="1" a="1"/>
  <c r="C75" i="1" s="1"/>
  <c r="C56" i="1" a="1"/>
  <c r="C56" i="1" s="1"/>
  <c r="D72" i="1" a="1"/>
  <c r="D72" i="1" s="1"/>
  <c r="C80" i="1" a="1"/>
  <c r="C80" i="1" s="1"/>
  <c r="C119" i="1" a="1"/>
  <c r="C119" i="1" s="1"/>
  <c r="C58" i="1" a="1"/>
  <c r="C58" i="1" s="1"/>
  <c r="C3" i="2"/>
  <c r="D71" i="1" a="1"/>
  <c r="D71" i="1" s="1"/>
  <c r="C73" i="1" a="1"/>
  <c r="C73" i="1" s="1"/>
  <c r="C79" i="1" a="1"/>
  <c r="C79" i="1" s="1"/>
  <c r="C99" i="1" a="1"/>
  <c r="C99" i="1" s="1"/>
  <c r="C117" i="1" a="1"/>
  <c r="C117" i="1" s="1"/>
  <c r="C77" i="1" a="1"/>
  <c r="C77" i="1" s="1"/>
  <c r="D91" i="1" a="1"/>
  <c r="D91" i="1" s="1"/>
  <c r="C44" i="1" a="1"/>
  <c r="C44" i="1" s="1"/>
  <c r="D58" i="1" a="1"/>
  <c r="D58" i="1" s="1"/>
  <c r="C105" i="1" a="1"/>
  <c r="C105" i="1" s="1"/>
  <c r="C57" i="1" a="1"/>
  <c r="C57" i="1" s="1"/>
  <c r="C63" i="1" a="1"/>
  <c r="C63" i="1" s="1"/>
  <c r="D92" i="1"/>
  <c r="C61" i="1"/>
  <c r="D56" i="1" a="1"/>
  <c r="D56" i="1" s="1"/>
  <c r="C76" i="1" a="1"/>
  <c r="C76" i="1" s="1"/>
  <c r="C111" i="1" a="1"/>
  <c r="C111" i="1" s="1"/>
  <c r="C46" i="1" a="1"/>
  <c r="C46" i="1" s="1"/>
  <c r="C53" i="1" a="1"/>
  <c r="C53" i="1" s="1"/>
  <c r="C72" i="1" a="1"/>
  <c r="C7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  <author>mhafer</author>
    <author>tc={CEF53AD0-8819-6B49-B0F5-CC6FC2EFFDE0}</author>
  </authors>
  <commentList>
    <comment ref="D1" authorId="0" shapeId="0" xr:uid="{00000000-0006-0000-0000-000001000000}">
      <text>
        <r>
          <rPr>
            <sz val="10"/>
            <rFont val="Arial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If unknown/undefined, enter "0"</t>
        </r>
      </text>
    </comment>
    <comment ref="F1" authorId="1" shapeId="0" xr:uid="{00000000-0006-0000-0000-000008000000}">
      <text>
        <r>
          <rPr>
            <sz val="10"/>
            <rFont val="Arial"/>
            <family val="2"/>
          </rPr>
          <t>mhafer:
Not currently supported</t>
        </r>
      </text>
    </comment>
    <comment ref="H1" authorId="1" shapeId="0" xr:uid="{00000000-0006-0000-0000-000010000000}">
      <text>
        <r>
          <rPr>
            <sz val="10"/>
            <rFont val="Arial"/>
            <family val="2"/>
          </rPr>
          <t>mhafer:
Not currently supported</t>
        </r>
      </text>
    </comment>
    <comment ref="I1" authorId="1" shapeId="0" xr:uid="{00000000-0006-0000-0000-000011000000}">
      <text>
        <r>
          <rPr>
            <sz val="10"/>
            <rFont val="Arial"/>
            <family val="2"/>
          </rPr>
          <t>mhafer:
Not currently supported</t>
        </r>
      </text>
    </comment>
    <comment ref="K1" authorId="1" shapeId="0" xr:uid="{00000000-0006-0000-0000-000013000000}">
      <text>
        <r>
          <rPr>
            <sz val="10"/>
            <rFont val="Arial"/>
            <family val="2"/>
          </rPr>
          <t>mhafer:
Not currently supported</t>
        </r>
      </text>
    </comment>
    <comment ref="D28" authorId="0" shapeId="0" xr:uid="{00000000-0006-0000-0000-000002000000}">
      <text>
        <r>
          <rPr>
            <sz val="10"/>
            <rFont val="Arial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If unknown/undefined, enter "0"</t>
        </r>
      </text>
    </comment>
    <comment ref="E28" authorId="0" shapeId="0" xr:uid="{00000000-0006-0000-0000-000005000000}">
      <text>
        <r>
          <rPr>
            <sz val="10"/>
            <rFont val="Arial"/>
            <family val="2"/>
          </rPr>
          <t>Magnan, Michael:
If unknown/undefined, enter "0"</t>
        </r>
      </text>
    </comment>
    <comment ref="F28" authorId="0" shapeId="0" xr:uid="{00000000-0006-0000-0000-000009000000}">
      <text>
        <r>
          <rPr>
            <sz val="10"/>
            <rFont val="Arial"/>
            <family val="2"/>
          </rPr>
          <t>Magnan, Michael:
This fiield's feature not currently supported</t>
        </r>
      </text>
    </comment>
    <comment ref="G28" authorId="0" shapeId="0" xr:uid="{00000000-0006-0000-0000-00000C000000}">
      <text>
        <r>
          <rPr>
            <sz val="10"/>
            <rFont val="Arial"/>
            <family val="2"/>
          </rPr>
          <t>Magnan, Michael:
This fiield's feature not currently supported</t>
        </r>
      </text>
    </comment>
    <comment ref="J28" authorId="0" shapeId="0" xr:uid="{00000000-0006-0000-0000-000012000000}">
      <text>
        <r>
          <rPr>
            <sz val="10"/>
            <rFont val="Arial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This fiield's feature not currently supported</t>
        </r>
      </text>
    </comment>
    <comment ref="E42" authorId="1" shapeId="0" xr:uid="{00000000-0006-0000-0000-000006000000}">
      <text>
        <r>
          <rPr>
            <sz val="10"/>
            <rFont val="Arial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  <charset val="1"/>
          </rPr>
          <t>Boolean field; valid values are TRUE, FALSE, 1, 0</t>
        </r>
      </text>
    </comment>
    <comment ref="F42" authorId="0" shapeId="0" xr:uid="{00000000-0006-0000-0000-00000A000000}">
      <text>
        <r>
          <rPr>
            <sz val="10"/>
            <rFont val="Arial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Integer field. For EVENT_POOL that is not source of carbon for the given Event, Sequence Number corresponds to an ACTION_PARAMETER_OUT component with the same sequence number</t>
        </r>
      </text>
    </comment>
    <comment ref="G42" authorId="0" shapeId="0" xr:uid="{00000000-0006-0000-0000-00000D000000}">
      <text>
        <r>
          <rPr>
            <sz val="10"/>
            <rFont val="Arial"/>
            <family val="2"/>
          </rPr>
          <t>Magnan, Michael:
Boolean field; valid values are TRUE, FALSE, 1, 0.
If left empty, default is false.</t>
        </r>
      </text>
    </comment>
    <comment ref="D82" authorId="0" shapeId="0" xr:uid="{00000000-0006-0000-0000-000003000000}">
      <text>
        <r>
          <rPr>
            <sz val="10"/>
            <rFont val="Arial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If unknown, enter name of the EVENT for which the ACTION_PARAMETER_SET will be relevant</t>
        </r>
      </text>
    </comment>
    <comment ref="E82" authorId="0" shapeId="0" xr:uid="{00000000-0006-0000-0000-000007000000}">
      <text>
        <r>
          <rPr>
            <sz val="10"/>
            <rFont val="Arial"/>
            <family val="2"/>
          </rPr>
          <t>Magnan, Michael:
If unknown, enter "UNIVERSE"</t>
        </r>
      </text>
    </comment>
    <comment ref="F82" authorId="0" shapeId="0" xr:uid="{00000000-0006-0000-0000-00000B000000}">
      <text>
        <r>
          <rPr>
            <sz val="10"/>
            <rFont val="Arial"/>
            <family val="2"/>
          </rPr>
          <t>Magnan, Michael:
Integer field</t>
        </r>
      </text>
    </comment>
    <comment ref="G82" authorId="0" shapeId="0" xr:uid="{00000000-0006-0000-0000-00000E000000}">
      <text>
        <r>
          <rPr>
            <sz val="10"/>
            <rFont val="Arial"/>
            <family val="2"/>
          </rPr>
          <t>Magnan, Michael:
String field for recording notes, such as the background reference source for the parameter</t>
        </r>
      </text>
    </comment>
    <comment ref="D94" authorId="0" shapeId="0" xr:uid="{00000000-0006-0000-0000-000004000000}">
      <text>
        <r>
          <rPr>
            <sz val="10"/>
            <rFont val="Arial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Integer field.</t>
        </r>
      </text>
    </comment>
    <comment ref="G94" authorId="2" shapeId="0" xr:uid="{CEF53AD0-8819-6B49-B0F5-CC6FC2EFFD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</authors>
  <commentList>
    <comment ref="B15" authorId="0" shapeId="0" xr:uid="{00000000-0006-0000-0200-000001000000}">
      <text>
        <r>
          <rPr>
            <sz val="10"/>
            <rFont val="Arial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Not currently implemented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mhafer</author>
  </authors>
  <commentList>
    <comment ref="C1" authorId="0" shapeId="0" xr:uid="{00000000-0006-0000-0300-000001000000}">
      <text>
        <r>
          <rPr>
            <sz val="10"/>
            <rFont val="Arial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  <charset val="1"/>
          </rPr>
          <t>Integer field - must be entered here as …
=TEXT(value, "0")
where value can be any valid Excel expression that resolves to an integer value</t>
        </r>
      </text>
    </comment>
    <comment ref="D1" authorId="0" shapeId="0" xr:uid="{00000000-0006-0000-0300-000002000000}">
      <text>
        <r>
          <rPr>
            <sz val="10"/>
            <rFont val="Arial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  <charset val="1"/>
          </rPr>
          <t xml:space="preserve">Technically this field is not required, but it is good practice to provide a value </t>
        </r>
      </text>
    </comment>
    <comment ref="E1" authorId="0" shapeId="0" xr:uid="{00000000-0006-0000-0300-000003000000}">
      <text>
        <r>
          <rPr>
            <sz val="10"/>
            <rFont val="Arial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  <charset val="1"/>
          </rPr>
          <t xml:space="preserve">Technically this field is not required, but it is good practice to provide a value </t>
        </r>
      </text>
    </comment>
    <comment ref="G1" authorId="0" shapeId="0" xr:uid="{00000000-0006-0000-0300-000004000000}">
      <text>
        <r>
          <rPr>
            <sz val="10"/>
            <rFont val="Arial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  <charset val="1"/>
          </rPr>
          <t>Integer field - must be entered here as …
=TEXT(value, "0")
where value can be any valid Excel expression that resolves to an integer value</t>
        </r>
      </text>
    </comment>
  </commentList>
</comments>
</file>

<file path=xl/sharedStrings.xml><?xml version="1.0" encoding="utf-8"?>
<sst xmlns="http://schemas.openxmlformats.org/spreadsheetml/2006/main" count="217" uniqueCount="100">
  <si>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</si>
  <si>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</si>
  <si>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</si>
  <si>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</si>
  <si>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</si>
  <si>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</si>
  <si>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</si>
  <si>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</si>
  <si>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</si>
  <si>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</si>
  <si>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</si>
  <si>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</si>
  <si>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IPCC default-sawnwood</t>
  </si>
  <si>
    <t>IPCC default-panels</t>
  </si>
  <si>
    <t>IPCC default-paper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</si>
  <si>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</si>
  <si>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</si>
  <si>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</si>
  <si>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</si>
  <si>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</si>
  <si>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</si>
  <si>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</si>
  <si>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</si>
  <si>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</si>
  <si>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</si>
  <si>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</si>
  <si>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</si>
  <si>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</si>
  <si>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</si>
  <si>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</si>
  <si>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</si>
  <si>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</si>
  <si>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</si>
  <si>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</si>
  <si>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</si>
  <si>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</si>
  <si>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</si>
  <si>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</si>
  <si>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</si>
  <si>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Keyword: ACTION_PARAMETER_OUT</t>
  </si>
  <si>
    <t>Action_Parameter_Set(Name)</t>
  </si>
  <si>
    <t>Proportion</t>
  </si>
  <si>
    <t>New Physical State Name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</si>
  <si>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</si>
  <si>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</si>
  <si>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</si>
  <si>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</si>
  <si>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</si>
  <si>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</si>
  <si>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</si>
  <si>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</si>
  <si>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Empty Field</t>
  </si>
  <si>
    <t>INITIAL_CMO</t>
  </si>
  <si>
    <t>Keyword: PHYSICAL_STATE</t>
  </si>
  <si>
    <t xml:space="preserve">Description </t>
  </si>
  <si>
    <t>PHYSICAL_STATE</t>
  </si>
  <si>
    <t>Roundwood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</si>
  <si>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</si>
  <si>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</si>
  <si>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</si>
  <si>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</si>
  <si>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</si>
  <si>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</si>
  <si>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</si>
  <si>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</si>
  <si>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</si>
  <si>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</si>
  <si>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</si>
  <si>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</si>
  <si>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</si>
  <si>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</si>
  <si>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</si>
  <si>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</si>
  <si>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Tag(Name)</t>
  </si>
  <si>
    <t>GIS_Id</t>
  </si>
  <si>
    <t>ASU</t>
  </si>
  <si>
    <t>AU</t>
  </si>
  <si>
    <t>Keyword: ASU_GROUP_TYPE</t>
  </si>
  <si>
    <t>ASU_GROUP_TYPE</t>
  </si>
  <si>
    <t>Nation</t>
  </si>
  <si>
    <t>Keyword: ASU_GROUP</t>
  </si>
  <si>
    <t>ASU_Group_Type(Name)</t>
  </si>
  <si>
    <t>ASU_GROUP</t>
  </si>
  <si>
    <t>Keyword: ASU_GROUP_MEMBER</t>
  </si>
  <si>
    <t>ASU(ID)</t>
  </si>
  <si>
    <t>Includes: ASU_Group(Name)</t>
  </si>
  <si>
    <t>ASU_GROUP_MEMBER</t>
  </si>
  <si>
    <t>Keyword: CURVE</t>
  </si>
  <si>
    <t>Usage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</si>
  <si>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</si>
  <si>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</si>
  <si>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</si>
  <si>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</si>
  <si>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</si>
  <si>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</si>
  <si>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</si>
  <si>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</si>
  <si>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Target</t>
  </si>
  <si>
    <t>Physical State Rule</t>
  </si>
  <si>
    <t>Species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</si>
</sst>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HelveticaNeue"/>
      <family val="2"/>
      <charset val="1"/>
    </font>
    <font>
      <sz val="10"/>
      <name val="Arial"/>
      <family val="2"/>
    </font>
    <font>
      <sz val="12"/>
      <color theme="1"/>
      <name val="HelveticaNeue"/>
      <charset val="1"/>
    </font>
    <font>
      <b/>
      <sz val="12"/>
      <color theme="1"/>
      <name val="HelveticaNeue"/>
      <charset val="1"/>
    </font>
    <font>
      <sz val="11"/>
      <color rgb="FF000000"/>
      <name val="Helvetica Neue"/>
      <family val="2"/>
      <charset val="1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demo-interweave/demo-nz.xlsx" TargetMode="External"/><Relationship Id="rId1" Type="http://schemas.openxmlformats.org/officeDocument/2006/relationships/externalLinkPath" Target="/Users/shxie/projects/anse-models/demo-interweave/demo-nz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emo-interweave/demo-id.xlsx" TargetMode="External"/><Relationship Id="rId1" Type="http://schemas.openxmlformats.org/officeDocument/2006/relationships/externalLinkPath" Target="/Users/shxie/projects/anse-models/demo-interweave/demo-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 - Flow Network"/>
      <sheetName val="Inputs - Carbon Mass"/>
      <sheetName val="Inputs - Categorical"/>
      <sheetName val="Inputs - Spatial"/>
      <sheetName val="Inputs - Advanced Curves"/>
    </sheetNames>
    <sheetDataSet>
      <sheetData sheetId="0">
        <row r="3">
          <cell r="C3" t="str">
            <v>Roundwood, NZ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 - Flow Network"/>
      <sheetName val="Inputs - Carbon Mass"/>
      <sheetName val="Inputs - Categorical"/>
      <sheetName val="Inputs - Spatial"/>
      <sheetName val="Inputs - Advanced Curves"/>
    </sheetNames>
    <sheetDataSet>
      <sheetData sheetId="0">
        <row r="3">
          <cell r="C3" t="str">
            <v>Sawnwood, ID</v>
          </cell>
        </row>
        <row r="4">
          <cell r="C4" t="str">
            <v>Panels, ID</v>
          </cell>
        </row>
        <row r="5">
          <cell r="C5" t="str">
            <v>Paper, ID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gnan, Michael" id="{FAD200EB-8A5C-424C-85E1-DA9D5C821F5E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4" personId="{FAD200EB-8A5C-424C-85E1-DA9D5C821F5E}" id="{CEF53AD0-8819-6B49-B0F5-CC6FC2EFFDE0}">
    <text xml:space="preserve">The physical state into which the C mass is transformed. Must supply a distinct Physical State here (not Physical State Group)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21"/>
  <sheetViews>
    <sheetView tabSelected="1" topLeftCell="C81" zoomScaleNormal="100" workbookViewId="0">
      <selection activeCell="F94" sqref="F94:I94"/>
    </sheetView>
  </sheetViews>
  <sheetFormatPr baseColWidth="10" defaultColWidth="7.5703125" defaultRowHeight="15.75" customHeight="1"/>
  <cols>
    <col min="1" max="1" width="8.5703125" customWidth="1"/>
    <col min="2" max="2" width="33.140625" customWidth="1"/>
    <col min="3" max="3" width="37.140625" customWidth="1"/>
    <col min="4" max="4" width="30.42578125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5.75" customHeight="1"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3" spans="2:12" ht="15.75" customHeight="1">
      <c r="B3" t="s">
        <v>11</v>
      </c>
      <c r="C3" t="str">
        <f>"Roundwood Harvested, "&amp;'Inputs - Spatial'!C10</f>
        <v>Roundwood Harvested, AU</v>
      </c>
      <c r="D3">
        <f>'Inputs - Spatial'!$C$2</f>
        <v>61</v>
      </c>
      <c r="J3" t="b">
        <f>TRUE()</f>
        <v>1</v>
      </c>
    </row>
    <row r="4" spans="2:12" ht="15.75" customHeight="1">
      <c r="B4" t="s">
        <v>11</v>
      </c>
      <c r="C4" t="str">
        <f>"Roundwood Consumed, "&amp;'Inputs - Spatial'!C10</f>
        <v>Roundwood Consumed, AU</v>
      </c>
      <c r="D4">
        <f>'Inputs - Spatial'!$C$2</f>
        <v>61</v>
      </c>
      <c r="J4" t="b">
        <f>TRUE()</f>
        <v>1</v>
      </c>
    </row>
    <row r="5" spans="2:12" ht="15.75" customHeight="1">
      <c r="B5" t="s">
        <v>11</v>
      </c>
      <c r="C5" t="str">
        <f>'[1]Inputs - Flow Network'!$C$3</f>
        <v>Roundwood, NZ</v>
      </c>
      <c r="D5">
        <f>'Inputs - Spatial'!$C$2</f>
        <v>61</v>
      </c>
      <c r="J5" t="b">
        <f>TRUE()</f>
        <v>1</v>
      </c>
    </row>
    <row r="7" spans="2:12" ht="15.75" customHeight="1">
      <c r="B7" t="s">
        <v>11</v>
      </c>
      <c r="C7" t="str">
        <f>"Sawmill, "&amp;'Inputs - Spatial'!C10</f>
        <v>Sawmill, AU</v>
      </c>
      <c r="D7">
        <f>'Inputs - Spatial'!$C$2</f>
        <v>61</v>
      </c>
    </row>
    <row r="8" spans="2:12" ht="15.75" customHeight="1">
      <c r="B8" t="s">
        <v>11</v>
      </c>
      <c r="C8" t="str">
        <f>"Sawnwood Produced, "&amp;'Inputs - Spatial'!C10</f>
        <v>Sawnwood Produced, AU</v>
      </c>
      <c r="D8">
        <f>'Inputs - Spatial'!$C$2</f>
        <v>61</v>
      </c>
    </row>
    <row r="9" spans="2:12" ht="15.75" customHeight="1">
      <c r="B9" t="s">
        <v>11</v>
      </c>
      <c r="C9" t="str">
        <f>"Sawnwood Comsumed, "&amp;'Inputs - Spatial'!C10</f>
        <v>Sawnwood Comsumed, AU</v>
      </c>
      <c r="D9">
        <f>'Inputs - Spatial'!$C$2</f>
        <v>61</v>
      </c>
      <c r="E9" t="s">
        <v>12</v>
      </c>
    </row>
    <row r="11" spans="2:12" ht="15.75" customHeight="1">
      <c r="B11" t="s">
        <v>11</v>
      </c>
      <c r="C11" t="str">
        <f>"Panel mill, "&amp;'Inputs - Spatial'!C10</f>
        <v>Panel mill, AU</v>
      </c>
      <c r="D11">
        <f>'Inputs - Spatial'!$C$2</f>
        <v>61</v>
      </c>
    </row>
    <row r="12" spans="2:12" ht="15.75" customHeight="1">
      <c r="B12" t="s">
        <v>11</v>
      </c>
      <c r="C12" t="str">
        <f>"Panel Produced, "&amp;'Inputs - Spatial'!C10</f>
        <v>Panel Produced, AU</v>
      </c>
      <c r="D12">
        <f>'Inputs - Spatial'!$C$2</f>
        <v>61</v>
      </c>
    </row>
    <row r="13" spans="2:12" ht="15.75" customHeight="1">
      <c r="B13" t="s">
        <v>11</v>
      </c>
      <c r="C13" t="str">
        <f>"Panel Consumed, "&amp;'Inputs - Spatial'!C10</f>
        <v>Panel Consumed, AU</v>
      </c>
      <c r="D13">
        <f>'Inputs - Spatial'!$C$2</f>
        <v>61</v>
      </c>
      <c r="E13" t="s">
        <v>13</v>
      </c>
    </row>
    <row r="15" spans="2:12" ht="15.75" customHeight="1">
      <c r="B15" t="s">
        <v>11</v>
      </c>
      <c r="C15" t="str">
        <f>"Milling residues, "&amp;'Inputs - Spatial'!C10</f>
        <v>Milling residues, AU</v>
      </c>
      <c r="D15">
        <f>'Inputs - Spatial'!$C$2</f>
        <v>61</v>
      </c>
    </row>
    <row r="17" spans="2:12" ht="15.75" customHeight="1">
      <c r="B17" t="s">
        <v>11</v>
      </c>
      <c r="C17" t="str">
        <f>"Paper and Paperboard Produced, "&amp;'Inputs - Spatial'!C10</f>
        <v>Paper and Paperboard Produced, AU</v>
      </c>
      <c r="D17">
        <f>'Inputs - Spatial'!$C$2</f>
        <v>61</v>
      </c>
    </row>
    <row r="18" spans="2:12" ht="15.75" customHeight="1">
      <c r="B18" t="s">
        <v>11</v>
      </c>
      <c r="C18" t="str">
        <f>"Paper and Paperboard Consumed, "&amp;'Inputs - Spatial'!C10</f>
        <v>Paper and Paperboard Consumed, AU</v>
      </c>
      <c r="D18">
        <f>'Inputs - Spatial'!$C$2</f>
        <v>61</v>
      </c>
      <c r="E18" t="s">
        <v>14</v>
      </c>
    </row>
    <row r="20" spans="2:12" ht="15.75" customHeight="1">
      <c r="B20" t="s">
        <v>11</v>
      </c>
      <c r="C20" t="str">
        <f>'[2]Inputs - Flow Network'!$C$3</f>
        <v>Sawnwood, ID</v>
      </c>
      <c r="D20">
        <f>'Inputs - Spatial'!$C$2</f>
        <v>61</v>
      </c>
      <c r="E20" t="s">
        <v>12</v>
      </c>
    </row>
    <row r="21" spans="2:12" ht="15.75" customHeight="1">
      <c r="B21" t="s">
        <v>11</v>
      </c>
      <c r="C21" t="str">
        <f>'[2]Inputs - Flow Network'!$C$4</f>
        <v>Panels, ID</v>
      </c>
      <c r="D21">
        <f>'Inputs - Spatial'!$C$2</f>
        <v>61</v>
      </c>
      <c r="E21" t="s">
        <v>13</v>
      </c>
    </row>
    <row r="22" spans="2:12" ht="15.75" customHeight="1">
      <c r="B22" t="s">
        <v>11</v>
      </c>
      <c r="C22" t="str">
        <f>'[2]Inputs - Flow Network'!$C$5</f>
        <v>Paper, ID</v>
      </c>
      <c r="D22">
        <f>'Inputs - Spatial'!$C$2</f>
        <v>61</v>
      </c>
      <c r="E22" t="s">
        <v>14</v>
      </c>
    </row>
    <row r="24" spans="2:12" ht="15.75" customHeight="1">
      <c r="B24" t="s">
        <v>11</v>
      </c>
      <c r="C24" t="str">
        <f>"CO2, "&amp;'Inputs - Spatial'!C10</f>
        <v>CO2, AU</v>
      </c>
      <c r="D24">
        <f>'Inputs - Spatial'!$C$2</f>
        <v>61</v>
      </c>
    </row>
    <row r="25" spans="2:12" ht="15.75" customHeight="1">
      <c r="B25" t="s">
        <v>11</v>
      </c>
      <c r="C25" t="str">
        <f>"CH4, "&amp;'Inputs - Spatial'!C10</f>
        <v>CH4, AU</v>
      </c>
      <c r="D25">
        <f>'Inputs - Spatial'!$C$2</f>
        <v>61</v>
      </c>
    </row>
    <row r="26" spans="2:12" ht="15.75" customHeight="1">
      <c r="B26" t="s">
        <v>11</v>
      </c>
      <c r="C26" t="str">
        <f>"Other gases, "&amp;'Inputs - Spatial'!C10</f>
        <v>Other gases, AU</v>
      </c>
      <c r="D26">
        <f>'Inputs - Spatial'!$C$2</f>
        <v>61</v>
      </c>
    </row>
    <row r="28" spans="2:12" s="3" customFormat="1" ht="15.75" customHeight="1">
      <c r="B28" s="2" t="s">
        <v>15</v>
      </c>
      <c r="C28" s="2" t="s">
        <v>1</v>
      </c>
      <c r="D28" s="2" t="s">
        <v>16</v>
      </c>
      <c r="E28" s="2" t="s">
        <v>2</v>
      </c>
      <c r="F28" s="3" t="s">
        <v>17</v>
      </c>
      <c r="G28" s="3" t="s">
        <v>18</v>
      </c>
      <c r="H28" s="3" t="s">
        <v>19</v>
      </c>
      <c r="I28" s="3" t="s">
        <v>20</v>
      </c>
      <c r="J28" s="3" t="s">
        <v>21</v>
      </c>
      <c r="K28" s="3" t="s">
        <v>22</v>
      </c>
      <c r="L28" s="3" t="s">
        <v>10</v>
      </c>
    </row>
    <row r="30" spans="2:12" ht="15.75" customHeight="1">
      <c r="B30" t="s">
        <v>23</v>
      </c>
      <c r="C30" t="str">
        <f>"Roundwood Trading, "&amp;'Inputs - Spatial'!C10</f>
        <v>Roundwood Trading, AU</v>
      </c>
      <c r="D30">
        <v>0</v>
      </c>
      <c r="E30">
        <f>'Inputs - Spatial'!$C$2</f>
        <v>61</v>
      </c>
    </row>
    <row r="31" spans="2:12" ht="15.75" customHeight="1">
      <c r="B31" t="s">
        <v>23</v>
      </c>
      <c r="C31" t="str">
        <f>"Roundwood value-adding, "&amp;'Inputs - Spatial'!C10</f>
        <v>Roundwood value-adding, AU</v>
      </c>
      <c r="D31">
        <v>0</v>
      </c>
      <c r="E31">
        <f>'Inputs - Spatial'!$C$2</f>
        <v>61</v>
      </c>
    </row>
    <row r="32" spans="2:12" ht="15.75" customHeight="1">
      <c r="B32" t="s">
        <v>23</v>
      </c>
      <c r="C32" t="str">
        <f>"Sawnwood manufacturing, "&amp;'Inputs - Spatial'!C10</f>
        <v>Sawnwood manufacturing, AU</v>
      </c>
      <c r="D32">
        <v>0</v>
      </c>
      <c r="E32">
        <f>'Inputs - Spatial'!$C$2</f>
        <v>61</v>
      </c>
    </row>
    <row r="33" spans="2:7" ht="15.75" customHeight="1">
      <c r="B33" t="s">
        <v>23</v>
      </c>
      <c r="C33" t="str">
        <f>"Panel manufacturing, "&amp;'Inputs - Spatial'!C10</f>
        <v>Panel manufacturing, AU</v>
      </c>
      <c r="D33">
        <v>0</v>
      </c>
      <c r="E33">
        <f>'Inputs - Spatial'!$C$2</f>
        <v>61</v>
      </c>
    </row>
    <row r="34" spans="2:7" ht="15.75" customHeight="1">
      <c r="B34" t="s">
        <v>23</v>
      </c>
      <c r="C34" t="str">
        <f>"Pulp and Paper manufacturing, "&amp;'Inputs - Spatial'!C10</f>
        <v>Pulp and Paper manufacturing, AU</v>
      </c>
      <c r="D34">
        <v>0</v>
      </c>
      <c r="E34">
        <f>'Inputs - Spatial'!$C$2</f>
        <v>61</v>
      </c>
    </row>
    <row r="35" spans="2:7" ht="15.75" customHeight="1">
      <c r="B35" t="s">
        <v>23</v>
      </c>
      <c r="C35" t="str">
        <f>"Sawnwood Trading, "&amp;'Inputs - Spatial'!C10</f>
        <v>Sawnwood Trading, AU</v>
      </c>
      <c r="D35">
        <v>0</v>
      </c>
      <c r="E35">
        <f>'Inputs - Spatial'!$C$2</f>
        <v>61</v>
      </c>
    </row>
    <row r="36" spans="2:7" ht="15.75" customHeight="1">
      <c r="B36" t="s">
        <v>23</v>
      </c>
      <c r="C36" t="str">
        <f>"Panel Trading, "&amp;'Inputs - Spatial'!C10</f>
        <v>Panel Trading, AU</v>
      </c>
      <c r="D36">
        <v>0</v>
      </c>
      <c r="E36">
        <f>'Inputs - Spatial'!$C$2</f>
        <v>61</v>
      </c>
    </row>
    <row r="37" spans="2:7" ht="15.75" customHeight="1">
      <c r="B37" t="s">
        <v>23</v>
      </c>
      <c r="C37" t="str">
        <f>"Paper and Paperboard Trading, "&amp;'Inputs - Spatial'!C10</f>
        <v>Paper and Paperboard Trading, AU</v>
      </c>
      <c r="D37">
        <v>0</v>
      </c>
      <c r="E37">
        <f>'Inputs - Spatial'!$C$2</f>
        <v>61</v>
      </c>
    </row>
    <row r="38" spans="2:7" ht="15.75" customHeight="1">
      <c r="B38" t="s">
        <v>23</v>
      </c>
      <c r="C38" t="str">
        <f>"End of Life Processing, "&amp;'Inputs - Spatial'!C10</f>
        <v>End of Life Processing, AU</v>
      </c>
      <c r="D38">
        <v>0</v>
      </c>
      <c r="E38">
        <f>'Inputs - Spatial'!$C$2</f>
        <v>61</v>
      </c>
    </row>
    <row r="40" spans="2:7" s="3" customFormat="1" ht="15.75" customHeight="1">
      <c r="B40" s="2" t="s">
        <v>24</v>
      </c>
      <c r="C40" s="2" t="s">
        <v>25</v>
      </c>
    </row>
    <row r="42" spans="2:7" s="3" customFormat="1" ht="15.75" customHeight="1"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3" t="s">
        <v>31</v>
      </c>
    </row>
    <row r="44" spans="2:7" ht="15.75" customHeight="1">
      <c r="B44" t="s">
        <v>32</v>
      </c>
      <c r="C44" t="str">
        <f t="array" ref="C44">$C$30</f>
        <v>Roundwood Trading, AU</v>
      </c>
      <c r="D44" t="str">
        <f t="array" ref="D44">$C3</f>
        <v>Roundwood Harvested, AU</v>
      </c>
      <c r="E44" t="b">
        <f>TRUE()</f>
        <v>1</v>
      </c>
      <c r="F44">
        <v>1</v>
      </c>
    </row>
    <row r="45" spans="2:7" ht="15.75" customHeight="1">
      <c r="B45" t="s">
        <v>32</v>
      </c>
      <c r="C45" t="str">
        <f t="array" ref="C45">$C$30</f>
        <v>Roundwood Trading, AU</v>
      </c>
      <c r="D45" t="str">
        <f t="array" ref="D45">C4</f>
        <v>Roundwood Consumed, AU</v>
      </c>
      <c r="E45" t="b">
        <f>FALSE()</f>
        <v>0</v>
      </c>
      <c r="F45">
        <v>1</v>
      </c>
    </row>
    <row r="46" spans="2:7" ht="15.75" customHeight="1">
      <c r="B46" t="s">
        <v>32</v>
      </c>
      <c r="C46" t="str">
        <f t="array" ref="C46">$C$30</f>
        <v>Roundwood Trading, AU</v>
      </c>
      <c r="D46" t="str">
        <f>'[1]Inputs - Flow Network'!$C$3</f>
        <v>Roundwood, NZ</v>
      </c>
      <c r="E46" t="b">
        <f>FALSE()</f>
        <v>0</v>
      </c>
      <c r="F46">
        <v>2</v>
      </c>
    </row>
    <row r="48" spans="2:7" ht="15.75" customHeight="1">
      <c r="B48" t="s">
        <v>32</v>
      </c>
      <c r="C48" t="str">
        <f t="array" ref="C48">$C$31</f>
        <v>Roundwood value-adding, AU</v>
      </c>
      <c r="D48" t="str">
        <f t="array" ref="D48">C4</f>
        <v>Roundwood Consumed, AU</v>
      </c>
      <c r="E48" t="b">
        <f>TRUE()</f>
        <v>1</v>
      </c>
      <c r="F48">
        <v>1</v>
      </c>
    </row>
    <row r="49" spans="2:6" ht="15.75" customHeight="1">
      <c r="B49" t="s">
        <v>32</v>
      </c>
      <c r="C49" t="str">
        <f t="array" ref="C49">$C$31</f>
        <v>Roundwood value-adding, AU</v>
      </c>
      <c r="D49" t="str">
        <f t="array" ref="D49">C7</f>
        <v>Sawmill, AU</v>
      </c>
      <c r="E49" t="b">
        <f>FALSE()</f>
        <v>0</v>
      </c>
      <c r="F49">
        <v>1</v>
      </c>
    </row>
    <row r="50" spans="2:6" ht="15.75" customHeight="1">
      <c r="B50" t="s">
        <v>32</v>
      </c>
      <c r="C50" t="str">
        <f t="array" ref="C50">$C$31</f>
        <v>Roundwood value-adding, AU</v>
      </c>
      <c r="D50" t="str">
        <f t="array" ref="D50">C11</f>
        <v>Panel mill, AU</v>
      </c>
      <c r="E50" t="b">
        <f>FALSE()</f>
        <v>0</v>
      </c>
      <c r="F50">
        <v>2</v>
      </c>
    </row>
    <row r="52" spans="2:6" ht="15.75" customHeight="1">
      <c r="B52" t="s">
        <v>32</v>
      </c>
      <c r="C52" t="str">
        <f t="array" ref="C52">$C$32</f>
        <v>Sawnwood manufacturing, AU</v>
      </c>
      <c r="D52" t="str">
        <f t="array" ref="D52">C7</f>
        <v>Sawmill, AU</v>
      </c>
      <c r="E52" t="b">
        <f>TRUE()</f>
        <v>1</v>
      </c>
      <c r="F52">
        <v>1</v>
      </c>
    </row>
    <row r="53" spans="2:6" ht="15.75" customHeight="1">
      <c r="B53" t="s">
        <v>32</v>
      </c>
      <c r="C53" t="str">
        <f t="array" ref="C53">$C$32</f>
        <v>Sawnwood manufacturing, AU</v>
      </c>
      <c r="D53" t="str">
        <f t="array" ref="D53">C8</f>
        <v>Sawnwood Produced, AU</v>
      </c>
      <c r="E53" t="b">
        <f>FALSE()</f>
        <v>0</v>
      </c>
      <c r="F53">
        <v>1</v>
      </c>
    </row>
    <row r="54" spans="2:6" ht="15.75" customHeight="1">
      <c r="B54" t="s">
        <v>32</v>
      </c>
      <c r="C54" t="str">
        <f t="array" ref="C54">$C$32</f>
        <v>Sawnwood manufacturing, AU</v>
      </c>
      <c r="D54" t="str">
        <f t="array" ref="D54">C15</f>
        <v>Milling residues, AU</v>
      </c>
      <c r="E54" t="b">
        <f>FALSE()</f>
        <v>0</v>
      </c>
      <c r="F54">
        <v>2</v>
      </c>
    </row>
    <row r="56" spans="2:6" ht="15.75" customHeight="1">
      <c r="B56" t="s">
        <v>32</v>
      </c>
      <c r="C56" t="str">
        <f t="array" ref="C56">$C$33</f>
        <v>Panel manufacturing, AU</v>
      </c>
      <c r="D56" t="str">
        <f t="array" ref="D56">C11</f>
        <v>Panel mill, AU</v>
      </c>
      <c r="E56" t="b">
        <f>TRUE()</f>
        <v>1</v>
      </c>
      <c r="F56">
        <v>1</v>
      </c>
    </row>
    <row r="57" spans="2:6" ht="15.75" customHeight="1">
      <c r="B57" t="s">
        <v>32</v>
      </c>
      <c r="C57" t="str">
        <f t="array" ref="C57">$C$33</f>
        <v>Panel manufacturing, AU</v>
      </c>
      <c r="D57" t="str">
        <f t="array" ref="D57">C12</f>
        <v>Panel Produced, AU</v>
      </c>
      <c r="E57" t="b">
        <f>FALSE()</f>
        <v>0</v>
      </c>
      <c r="F57">
        <v>1</v>
      </c>
    </row>
    <row r="58" spans="2:6" ht="15.75" customHeight="1">
      <c r="B58" t="s">
        <v>32</v>
      </c>
      <c r="C58" t="str">
        <f t="array" ref="C58">$C$33</f>
        <v>Panel manufacturing, AU</v>
      </c>
      <c r="D58" t="str">
        <f t="array" ref="D58">C15</f>
        <v>Milling residues, AU</v>
      </c>
      <c r="E58" t="b">
        <f>FALSE()</f>
        <v>0</v>
      </c>
      <c r="F58">
        <v>2</v>
      </c>
    </row>
    <row r="60" spans="2:6" ht="15.75" customHeight="1">
      <c r="B60" t="s">
        <v>32</v>
      </c>
      <c r="C60" t="str">
        <f>C34</f>
        <v>Pulp and Paper manufacturing, AU</v>
      </c>
      <c r="D60" t="str">
        <f>C15</f>
        <v>Milling residues, AU</v>
      </c>
      <c r="E60" t="b">
        <f>TRUE()</f>
        <v>1</v>
      </c>
      <c r="F60">
        <v>1</v>
      </c>
    </row>
    <row r="61" spans="2:6" ht="15.75" customHeight="1">
      <c r="B61" t="s">
        <v>32</v>
      </c>
      <c r="C61" t="str">
        <f>C34</f>
        <v>Pulp and Paper manufacturing, AU</v>
      </c>
      <c r="D61" t="str">
        <f>C17</f>
        <v>Paper and Paperboard Produced, AU</v>
      </c>
      <c r="E61" t="b">
        <f>FALSE()</f>
        <v>0</v>
      </c>
      <c r="F61">
        <v>1</v>
      </c>
    </row>
    <row r="63" spans="2:6" ht="15.75" customHeight="1">
      <c r="B63" t="s">
        <v>32</v>
      </c>
      <c r="C63" t="str">
        <f t="array" ref="C63">$C$35</f>
        <v>Sawnwood Trading, AU</v>
      </c>
      <c r="D63" t="str">
        <f t="array" ref="D63">C8</f>
        <v>Sawnwood Produced, AU</v>
      </c>
      <c r="E63" t="b">
        <f>TRUE()</f>
        <v>1</v>
      </c>
      <c r="F63">
        <v>1</v>
      </c>
    </row>
    <row r="64" spans="2:6" ht="15.75" customHeight="1">
      <c r="B64" t="s">
        <v>32</v>
      </c>
      <c r="C64" t="str">
        <f t="array" ref="C64">$C$35</f>
        <v>Sawnwood Trading, AU</v>
      </c>
      <c r="D64" t="str">
        <f t="array" ref="D64">C9</f>
        <v>Sawnwood Comsumed, AU</v>
      </c>
      <c r="E64" t="b">
        <f>FALSE()</f>
        <v>0</v>
      </c>
      <c r="F64">
        <v>1</v>
      </c>
    </row>
    <row r="65" spans="2:6" ht="15.75" customHeight="1">
      <c r="B65" t="s">
        <v>32</v>
      </c>
      <c r="C65" t="str">
        <f t="array" ref="C65">$C$35</f>
        <v>Sawnwood Trading, AU</v>
      </c>
      <c r="D65" t="str">
        <f>'[2]Inputs - Flow Network'!$C$3</f>
        <v>Sawnwood, ID</v>
      </c>
      <c r="E65" t="b">
        <f>FALSE()</f>
        <v>0</v>
      </c>
      <c r="F65">
        <v>2</v>
      </c>
    </row>
    <row r="67" spans="2:6" ht="15.75" customHeight="1">
      <c r="B67" t="s">
        <v>32</v>
      </c>
      <c r="C67" t="str">
        <f t="array" ref="C67">$C$36</f>
        <v>Panel Trading, AU</v>
      </c>
      <c r="D67" t="str">
        <f t="array" ref="D67">C12</f>
        <v>Panel Produced, AU</v>
      </c>
      <c r="E67" t="b">
        <f>TRUE()</f>
        <v>1</v>
      </c>
      <c r="F67">
        <v>1</v>
      </c>
    </row>
    <row r="68" spans="2:6" ht="15.75" customHeight="1">
      <c r="B68" t="s">
        <v>32</v>
      </c>
      <c r="C68" t="str">
        <f t="array" ref="C68">$C$36</f>
        <v>Panel Trading, AU</v>
      </c>
      <c r="D68" t="str">
        <f t="array" ref="D68">C13</f>
        <v>Panel Consumed, AU</v>
      </c>
      <c r="E68" t="b">
        <f>FALSE()</f>
        <v>0</v>
      </c>
      <c r="F68">
        <v>1</v>
      </c>
    </row>
    <row r="69" spans="2:6" ht="15.75" customHeight="1">
      <c r="B69" t="s">
        <v>32</v>
      </c>
      <c r="C69" t="str">
        <f t="array" ref="C69">$C$36</f>
        <v>Panel Trading, AU</v>
      </c>
      <c r="D69" t="str">
        <f>'[2]Inputs - Flow Network'!$C$4</f>
        <v>Panels, ID</v>
      </c>
      <c r="E69" t="b">
        <f>FALSE()</f>
        <v>0</v>
      </c>
      <c r="F69">
        <v>2</v>
      </c>
    </row>
    <row r="71" spans="2:6" ht="15.75" customHeight="1">
      <c r="B71" t="s">
        <v>32</v>
      </c>
      <c r="C71" t="str">
        <f t="array" ref="C71">$C$37</f>
        <v>Paper and Paperboard Trading, AU</v>
      </c>
      <c r="D71" t="str">
        <f t="array" ref="D71">C17</f>
        <v>Paper and Paperboard Produced, AU</v>
      </c>
      <c r="E71" t="b">
        <f>TRUE()</f>
        <v>1</v>
      </c>
      <c r="F71">
        <v>1</v>
      </c>
    </row>
    <row r="72" spans="2:6" ht="15.75" customHeight="1">
      <c r="B72" t="s">
        <v>32</v>
      </c>
      <c r="C72" t="str">
        <f t="array" ref="C72">$C$37</f>
        <v>Paper and Paperboard Trading, AU</v>
      </c>
      <c r="D72" t="str">
        <f t="array" ref="D72">C18</f>
        <v>Paper and Paperboard Consumed, AU</v>
      </c>
      <c r="E72" t="b">
        <f>FALSE()</f>
        <v>0</v>
      </c>
      <c r="F72">
        <v>1</v>
      </c>
    </row>
    <row r="73" spans="2:6" ht="15.75" customHeight="1">
      <c r="B73" t="s">
        <v>32</v>
      </c>
      <c r="C73" t="str">
        <f t="array" ref="C73">$C$37</f>
        <v>Paper and Paperboard Trading, AU</v>
      </c>
      <c r="D73" t="str">
        <f>'[2]Inputs - Flow Network'!$C$5</f>
        <v>Paper, ID</v>
      </c>
      <c r="E73" t="b">
        <f>FALSE()</f>
        <v>0</v>
      </c>
      <c r="F73">
        <v>2</v>
      </c>
    </row>
    <row r="75" spans="2:6" ht="15.75" customHeight="1">
      <c r="B75" t="s">
        <v>32</v>
      </c>
      <c r="C75" t="str">
        <f t="array" ref="C75">$C$38</f>
        <v>End of Life Processing, AU</v>
      </c>
      <c r="D75" t="str">
        <f t="array" ref="D75">C9</f>
        <v>Sawnwood Comsumed, AU</v>
      </c>
      <c r="E75" t="b">
        <f>TRUE()</f>
        <v>1</v>
      </c>
      <c r="F75">
        <v>1</v>
      </c>
    </row>
    <row r="76" spans="2:6" ht="15.75" customHeight="1">
      <c r="B76" t="s">
        <v>32</v>
      </c>
      <c r="C76" t="str">
        <f t="array" ref="C76">$C$38</f>
        <v>End of Life Processing, AU</v>
      </c>
      <c r="D76" t="str">
        <f t="array" ref="D76">C13</f>
        <v>Panel Consumed, AU</v>
      </c>
      <c r="E76" t="b">
        <f>TRUE()</f>
        <v>1</v>
      </c>
      <c r="F76">
        <v>2</v>
      </c>
    </row>
    <row r="77" spans="2:6" ht="15.75" customHeight="1">
      <c r="B77" t="s">
        <v>32</v>
      </c>
      <c r="C77" t="str">
        <f t="array" ref="C77">$C$38</f>
        <v>End of Life Processing, AU</v>
      </c>
      <c r="D77" t="str">
        <f t="array" ref="D77">C18</f>
        <v>Paper and Paperboard Consumed, AU</v>
      </c>
      <c r="E77" t="b">
        <f>TRUE()</f>
        <v>1</v>
      </c>
      <c r="F77">
        <v>3</v>
      </c>
    </row>
    <row r="78" spans="2:6" ht="15.75" customHeight="1">
      <c r="B78" t="s">
        <v>32</v>
      </c>
      <c r="C78" t="str">
        <f t="array" ref="C78">$C$38</f>
        <v>End of Life Processing, AU</v>
      </c>
      <c r="D78" t="str">
        <f t="array" ref="D78">C24</f>
        <v>CO2, AU</v>
      </c>
      <c r="E78" t="b">
        <f>FALSE()</f>
        <v>0</v>
      </c>
      <c r="F78">
        <v>1</v>
      </c>
    </row>
    <row r="79" spans="2:6" ht="15.75" customHeight="1">
      <c r="B79" t="s">
        <v>32</v>
      </c>
      <c r="C79" t="str">
        <f t="array" ref="C79">$C$38</f>
        <v>End of Life Processing, AU</v>
      </c>
      <c r="D79" t="str">
        <f t="array" ref="D79">C25</f>
        <v>CH4, AU</v>
      </c>
      <c r="E79" t="b">
        <f>FALSE()</f>
        <v>0</v>
      </c>
      <c r="F79">
        <v>2</v>
      </c>
    </row>
    <row r="80" spans="2:6" ht="15.75" customHeight="1">
      <c r="B80" t="s">
        <v>32</v>
      </c>
      <c r="C80" t="str">
        <f t="array" ref="C80">$C$38</f>
        <v>End of Life Processing, AU</v>
      </c>
      <c r="D80" t="str">
        <f t="array" ref="D80">C26</f>
        <v>Other gases, AU</v>
      </c>
      <c r="E80" t="b">
        <f>FALSE()</f>
        <v>0</v>
      </c>
      <c r="F80">
        <v>3</v>
      </c>
    </row>
    <row r="82" spans="2:10" s="3" customFormat="1" ht="15.75" customHeight="1">
      <c r="B82" s="2" t="s">
        <v>33</v>
      </c>
      <c r="C82" s="2" t="s">
        <v>1</v>
      </c>
      <c r="D82" s="2" t="s">
        <v>34</v>
      </c>
      <c r="E82" s="2" t="s">
        <v>22</v>
      </c>
      <c r="F82" s="3" t="s">
        <v>35</v>
      </c>
      <c r="G82" s="3" t="s">
        <v>36</v>
      </c>
      <c r="H82" s="3" t="s">
        <v>37</v>
      </c>
    </row>
    <row r="84" spans="2:10" ht="15.75" customHeight="1">
      <c r="B84" t="s">
        <v>38</v>
      </c>
      <c r="C84" t="str">
        <f>"Roundwood Trading Allocations, "&amp;'Inputs - Spatial'!C10</f>
        <v>Roundwood Trading Allocations, AU</v>
      </c>
      <c r="D84" t="str">
        <f t="array" ref="D84">C30</f>
        <v>Roundwood Trading, AU</v>
      </c>
      <c r="E84" t="str">
        <f>'Inputs - Spatial'!$C$10</f>
        <v>AU</v>
      </c>
    </row>
    <row r="85" spans="2:10" ht="15.75" customHeight="1">
      <c r="B85" t="s">
        <v>38</v>
      </c>
      <c r="C85" t="str">
        <f>"Roundwood value-adding Allocations, "&amp;'Inputs - Spatial'!C10</f>
        <v>Roundwood value-adding Allocations, AU</v>
      </c>
      <c r="D85" t="str">
        <f t="array" ref="D85">C31</f>
        <v>Roundwood value-adding, AU</v>
      </c>
      <c r="E85" t="str">
        <f>'Inputs - Spatial'!$C$10</f>
        <v>AU</v>
      </c>
    </row>
    <row r="86" spans="2:10" ht="15.75" customHeight="1">
      <c r="B86" t="s">
        <v>38</v>
      </c>
      <c r="C86" t="str">
        <f>"Sawnwood manufacturing Allocations, "&amp;'Inputs - Spatial'!C10</f>
        <v>Sawnwood manufacturing Allocations, AU</v>
      </c>
      <c r="D86" t="str">
        <f t="array" ref="D86">C32</f>
        <v>Sawnwood manufacturing, AU</v>
      </c>
      <c r="E86" t="str">
        <f>'Inputs - Spatial'!$C$10</f>
        <v>AU</v>
      </c>
    </row>
    <row r="87" spans="2:10" ht="15.75" customHeight="1">
      <c r="B87" t="s">
        <v>38</v>
      </c>
      <c r="C87" t="str">
        <f>"Panel manufacturing Allocations, "&amp;'Inputs - Spatial'!C10</f>
        <v>Panel manufacturing Allocations, AU</v>
      </c>
      <c r="D87" t="str">
        <f t="array" ref="D87">C33</f>
        <v>Panel manufacturing, AU</v>
      </c>
      <c r="E87" t="str">
        <f>'Inputs - Spatial'!$C$10</f>
        <v>AU</v>
      </c>
    </row>
    <row r="88" spans="2:10" ht="15.75" customHeight="1">
      <c r="B88" t="s">
        <v>38</v>
      </c>
      <c r="C88" t="str">
        <f>"Sawnwood Trading Allocations, "&amp;'Inputs - Spatial'!C10</f>
        <v>Sawnwood Trading Allocations, AU</v>
      </c>
      <c r="D88" t="str">
        <f t="array" ref="D88">C35</f>
        <v>Sawnwood Trading, AU</v>
      </c>
      <c r="E88" t="str">
        <f>'Inputs - Spatial'!$C$10</f>
        <v>AU</v>
      </c>
    </row>
    <row r="89" spans="2:10" ht="15.75" customHeight="1">
      <c r="B89" t="s">
        <v>38</v>
      </c>
      <c r="C89" t="str">
        <f>"Panel Trading Allocations, "&amp;'Inputs - Spatial'!C10</f>
        <v>Panel Trading Allocations, AU</v>
      </c>
      <c r="D89" t="str">
        <f t="array" ref="D89">C36</f>
        <v>Panel Trading, AU</v>
      </c>
      <c r="E89" t="str">
        <f>'Inputs - Spatial'!$C$10</f>
        <v>AU</v>
      </c>
    </row>
    <row r="90" spans="2:10" ht="15.75" customHeight="1">
      <c r="B90" t="s">
        <v>38</v>
      </c>
      <c r="C90" t="str">
        <f>"Paper and Paperboard Trading Allocations, "&amp;'Inputs - Spatial'!C10</f>
        <v>Paper and Paperboard Trading Allocations, AU</v>
      </c>
      <c r="D90" t="str">
        <f t="array" ref="D90">C37</f>
        <v>Paper and Paperboard Trading, AU</v>
      </c>
      <c r="E90" t="str">
        <f>'Inputs - Spatial'!$C$10</f>
        <v>AU</v>
      </c>
    </row>
    <row r="91" spans="2:10" ht="15.75" customHeight="1">
      <c r="B91" t="s">
        <v>38</v>
      </c>
      <c r="C91" t="str">
        <f>"End of Life Processing Allocations, "&amp;'Inputs - Spatial'!C10</f>
        <v>End of Life Processing Allocations, AU</v>
      </c>
      <c r="D91" t="str">
        <f t="array" ref="D91">C38</f>
        <v>End of Life Processing, AU</v>
      </c>
      <c r="E91" t="str">
        <f>'Inputs - Spatial'!$C$10</f>
        <v>AU</v>
      </c>
    </row>
    <row r="92" spans="2:10" ht="15.75" customHeight="1">
      <c r="B92" t="s">
        <v>38</v>
      </c>
      <c r="C92" t="str">
        <f>"Pulp and Paper manufacturing Allocations, "&amp;'Inputs - Spatial'!C10</f>
        <v>Pulp and Paper manufacturing Allocations, AU</v>
      </c>
      <c r="D92" t="str">
        <f>C34</f>
        <v>Pulp and Paper manufacturing, AU</v>
      </c>
      <c r="E92" t="str">
        <f>'Inputs - Spatial'!$C$10</f>
        <v>AU</v>
      </c>
    </row>
    <row r="94" spans="2:10" s="3" customFormat="1" ht="15.75" customHeight="1">
      <c r="B94" s="2" t="s">
        <v>39</v>
      </c>
      <c r="C94" s="2" t="s">
        <v>40</v>
      </c>
      <c r="D94" s="2" t="s">
        <v>30</v>
      </c>
      <c r="E94" s="2" t="s">
        <v>41</v>
      </c>
      <c r="F94" s="5" t="s">
        <v>97</v>
      </c>
      <c r="G94" s="5" t="s">
        <v>42</v>
      </c>
      <c r="H94" s="5" t="s">
        <v>98</v>
      </c>
      <c r="I94" s="5" t="s">
        <v>99</v>
      </c>
      <c r="J94" s="3" t="s">
        <v>43</v>
      </c>
    </row>
    <row r="96" spans="2:10" ht="15.75" customHeight="1">
      <c r="B96" t="s">
        <v>44</v>
      </c>
      <c r="C96" t="str">
        <f t="array" ref="C96">C84</f>
        <v>Roundwood Trading Allocations, AU</v>
      </c>
      <c r="D96">
        <v>1</v>
      </c>
      <c r="E96">
        <v>0.5</v>
      </c>
    </row>
    <row r="97" spans="2:5" ht="15.75" customHeight="1">
      <c r="B97" t="s">
        <v>44</v>
      </c>
      <c r="C97" t="str">
        <f t="array" ref="C97">C84</f>
        <v>Roundwood Trading Allocations, AU</v>
      </c>
      <c r="D97">
        <v>2</v>
      </c>
      <c r="E97">
        <v>0.5</v>
      </c>
    </row>
    <row r="99" spans="2:5" ht="15.75" customHeight="1">
      <c r="B99" t="s">
        <v>44</v>
      </c>
      <c r="C99" t="str">
        <f t="array" ref="C99">C85</f>
        <v>Roundwood value-adding Allocations, AU</v>
      </c>
      <c r="D99">
        <v>1</v>
      </c>
      <c r="E99">
        <v>0.75</v>
      </c>
    </row>
    <row r="100" spans="2:5" ht="15.75" customHeight="1">
      <c r="B100" t="s">
        <v>44</v>
      </c>
      <c r="C100" t="str">
        <f t="array" ref="C100">C85</f>
        <v>Roundwood value-adding Allocations, AU</v>
      </c>
      <c r="D100">
        <v>2</v>
      </c>
      <c r="E100">
        <v>0.25</v>
      </c>
    </row>
    <row r="102" spans="2:5" ht="15.75" customHeight="1">
      <c r="B102" t="s">
        <v>44</v>
      </c>
      <c r="C102" t="str">
        <f t="array" ref="C102">C86</f>
        <v>Sawnwood manufacturing Allocations, AU</v>
      </c>
      <c r="D102">
        <v>1</v>
      </c>
      <c r="E102">
        <v>0.5</v>
      </c>
    </row>
    <row r="103" spans="2:5" ht="15.75" customHeight="1">
      <c r="B103" t="s">
        <v>44</v>
      </c>
      <c r="C103" t="str">
        <f t="array" ref="C103">C86</f>
        <v>Sawnwood manufacturing Allocations, AU</v>
      </c>
      <c r="D103">
        <v>2</v>
      </c>
      <c r="E103">
        <v>0.5</v>
      </c>
    </row>
    <row r="105" spans="2:5" ht="15.75" customHeight="1">
      <c r="B105" t="s">
        <v>44</v>
      </c>
      <c r="C105" t="str">
        <f t="array" ref="C105">C87</f>
        <v>Panel manufacturing Allocations, AU</v>
      </c>
      <c r="D105">
        <v>1</v>
      </c>
      <c r="E105">
        <v>0.98</v>
      </c>
    </row>
    <row r="106" spans="2:5" ht="15.75" customHeight="1">
      <c r="B106" t="s">
        <v>44</v>
      </c>
      <c r="C106" t="str">
        <f t="array" ref="C106">C87</f>
        <v>Panel manufacturing Allocations, AU</v>
      </c>
      <c r="D106">
        <v>2</v>
      </c>
      <c r="E106">
        <v>0.02</v>
      </c>
    </row>
    <row r="108" spans="2:5" ht="15.75" customHeight="1">
      <c r="B108" t="s">
        <v>44</v>
      </c>
      <c r="C108" t="str">
        <f t="array" ref="C108">C88</f>
        <v>Sawnwood Trading Allocations, AU</v>
      </c>
      <c r="D108">
        <v>1</v>
      </c>
      <c r="E108">
        <v>0.75</v>
      </c>
    </row>
    <row r="109" spans="2:5" ht="15.75" customHeight="1">
      <c r="B109" t="s">
        <v>44</v>
      </c>
      <c r="C109" t="str">
        <f t="array" ref="C109">C88</f>
        <v>Sawnwood Trading Allocations, AU</v>
      </c>
      <c r="D109">
        <v>2</v>
      </c>
      <c r="E109">
        <v>0.25</v>
      </c>
    </row>
    <row r="111" spans="2:5" ht="15.75" customHeight="1">
      <c r="B111" t="s">
        <v>44</v>
      </c>
      <c r="C111" t="str">
        <f t="array" ref="C111">C89</f>
        <v>Panel Trading Allocations, AU</v>
      </c>
      <c r="D111">
        <v>1</v>
      </c>
      <c r="E111">
        <v>0.75</v>
      </c>
    </row>
    <row r="112" spans="2:5" ht="15.75" customHeight="1">
      <c r="B112" t="s">
        <v>44</v>
      </c>
      <c r="C112" t="str">
        <f t="array" ref="C112">C89</f>
        <v>Panel Trading Allocations, AU</v>
      </c>
      <c r="D112">
        <v>2</v>
      </c>
      <c r="E112">
        <v>0.25</v>
      </c>
    </row>
    <row r="114" spans="2:5" ht="15.75" customHeight="1">
      <c r="B114" t="s">
        <v>44</v>
      </c>
      <c r="C114" t="str">
        <f t="array" ref="C114">C90</f>
        <v>Paper and Paperboard Trading Allocations, AU</v>
      </c>
      <c r="D114">
        <v>1</v>
      </c>
      <c r="E114">
        <v>0.75</v>
      </c>
    </row>
    <row r="115" spans="2:5" ht="15.75" customHeight="1">
      <c r="B115" t="s">
        <v>44</v>
      </c>
      <c r="C115" t="str">
        <f t="array" ref="C115">C90</f>
        <v>Paper and Paperboard Trading Allocations, AU</v>
      </c>
      <c r="D115">
        <v>2</v>
      </c>
      <c r="E115">
        <v>0.25</v>
      </c>
    </row>
    <row r="117" spans="2:5" ht="15.75" customHeight="1">
      <c r="B117" t="s">
        <v>44</v>
      </c>
      <c r="C117" t="str">
        <f t="array" ref="C117">C91</f>
        <v>End of Life Processing Allocations, AU</v>
      </c>
      <c r="D117">
        <v>1</v>
      </c>
      <c r="E117">
        <v>0.5</v>
      </c>
    </row>
    <row r="118" spans="2:5" ht="15.75" customHeight="1">
      <c r="B118" t="s">
        <v>44</v>
      </c>
      <c r="C118" t="str">
        <f t="array" ref="C118">C91</f>
        <v>End of Life Processing Allocations, AU</v>
      </c>
      <c r="D118">
        <v>2</v>
      </c>
      <c r="E118">
        <v>0.5</v>
      </c>
    </row>
    <row r="119" spans="2:5" ht="15.75" customHeight="1">
      <c r="B119" t="s">
        <v>44</v>
      </c>
      <c r="C119" t="str">
        <f t="array" ref="C119">C91</f>
        <v>End of Life Processing Allocations, AU</v>
      </c>
      <c r="D119">
        <v>3</v>
      </c>
      <c r="E119">
        <v>0</v>
      </c>
    </row>
    <row r="121" spans="2:5" ht="15.75" customHeight="1">
      <c r="B121" t="s">
        <v>44</v>
      </c>
      <c r="C121" t="str">
        <f>C92</f>
        <v>Pulp and Paper manufacturing Allocations, AU</v>
      </c>
      <c r="D121">
        <v>1</v>
      </c>
      <c r="E121">
        <v>1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"/>
  <sheetViews>
    <sheetView zoomScaleNormal="100" workbookViewId="0">
      <selection activeCell="C3" sqref="C3"/>
    </sheetView>
  </sheetViews>
  <sheetFormatPr baseColWidth="10" defaultColWidth="10.42578125" defaultRowHeight="16"/>
  <cols>
    <col min="2" max="2" width="19.28515625" customWidth="1"/>
    <col min="3" max="3" width="22" customWidth="1"/>
    <col min="4" max="4" width="12.7109375" customWidth="1"/>
    <col min="5" max="5" width="17.7109375" customWidth="1"/>
    <col min="6" max="6" width="21.5703125" customWidth="1"/>
    <col min="7" max="7" width="19.85546875" customWidth="1"/>
    <col min="8" max="10" width="10" customWidth="1"/>
    <col min="11" max="11" width="9.7109375" customWidth="1"/>
  </cols>
  <sheetData>
    <row r="1" spans="2:11" s="3" customFormat="1">
      <c r="B1" s="2" t="s">
        <v>45</v>
      </c>
      <c r="C1" s="2" t="s">
        <v>46</v>
      </c>
      <c r="D1" s="3" t="s">
        <v>47</v>
      </c>
      <c r="E1" s="2" t="s">
        <v>48</v>
      </c>
      <c r="F1" s="2" t="s">
        <v>49</v>
      </c>
      <c r="G1" s="2" t="s">
        <v>50</v>
      </c>
      <c r="H1" s="3" t="s">
        <v>51</v>
      </c>
      <c r="I1" s="3" t="s">
        <v>51</v>
      </c>
      <c r="J1" s="3" t="s">
        <v>51</v>
      </c>
      <c r="K1" s="3" t="s">
        <v>37</v>
      </c>
    </row>
    <row r="3" spans="2:11">
      <c r="B3" t="s">
        <v>52</v>
      </c>
      <c r="C3" t="str">
        <f>'Inputs - Flow Network'!C3</f>
        <v>Roundwood Harvested, AU</v>
      </c>
      <c r="E3" t="str">
        <f>'Inputs - Categorical'!C3</f>
        <v>Roundwood</v>
      </c>
      <c r="F3" s="4">
        <v>100</v>
      </c>
      <c r="G3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5"/>
  <sheetViews>
    <sheetView zoomScaleNormal="100" workbookViewId="0">
      <selection activeCell="A3" sqref="A3"/>
    </sheetView>
  </sheetViews>
  <sheetFormatPr baseColWidth="10" defaultColWidth="10.42578125" defaultRowHeight="16"/>
  <cols>
    <col min="1" max="1" width="9.7109375" customWidth="1"/>
    <col min="2" max="2" width="39" customWidth="1"/>
    <col min="3" max="3" width="18.140625" customWidth="1"/>
    <col min="4" max="4" width="17.7109375" customWidth="1"/>
    <col min="5" max="5" width="16.28515625" customWidth="1"/>
    <col min="6" max="6" width="8.5703125" customWidth="1"/>
    <col min="7" max="7" width="9.7109375" customWidth="1"/>
  </cols>
  <sheetData>
    <row r="1" spans="2:7" s="3" customFormat="1">
      <c r="B1" s="2" t="s">
        <v>53</v>
      </c>
      <c r="C1" s="2" t="s">
        <v>1</v>
      </c>
      <c r="D1" s="3" t="s">
        <v>54</v>
      </c>
    </row>
    <row r="3" spans="2:7">
      <c r="B3" t="s">
        <v>55</v>
      </c>
      <c r="C3" t="s">
        <v>56</v>
      </c>
    </row>
    <row r="5" spans="2:7" s="3" customFormat="1">
      <c r="B5" s="2" t="s">
        <v>57</v>
      </c>
      <c r="C5" s="2" t="s">
        <v>1</v>
      </c>
      <c r="D5" s="3" t="s">
        <v>36</v>
      </c>
      <c r="E5" s="3" t="s">
        <v>37</v>
      </c>
    </row>
    <row r="7" spans="2:7" s="3" customFormat="1">
      <c r="B7" s="2" t="s">
        <v>58</v>
      </c>
      <c r="C7" s="2" t="s">
        <v>59</v>
      </c>
      <c r="D7" s="2" t="s">
        <v>60</v>
      </c>
    </row>
    <row r="9" spans="2:7" s="3" customFormat="1">
      <c r="B9" s="2" t="s">
        <v>61</v>
      </c>
      <c r="C9" s="2" t="s">
        <v>1</v>
      </c>
      <c r="D9" s="3" t="s">
        <v>62</v>
      </c>
      <c r="E9" s="3" t="s">
        <v>63</v>
      </c>
      <c r="F9" s="3" t="s">
        <v>36</v>
      </c>
      <c r="G9" s="3" t="s">
        <v>37</v>
      </c>
    </row>
    <row r="11" spans="2:7" s="3" customFormat="1">
      <c r="B11" s="2" t="s">
        <v>64</v>
      </c>
      <c r="C11" s="2" t="s">
        <v>1</v>
      </c>
      <c r="D11" s="3" t="s">
        <v>36</v>
      </c>
      <c r="E11" s="3" t="s">
        <v>37</v>
      </c>
    </row>
    <row r="13" spans="2:7" s="3" customFormat="1">
      <c r="B13" s="2" t="s">
        <v>65</v>
      </c>
      <c r="C13" s="2" t="s">
        <v>66</v>
      </c>
      <c r="D13" s="2" t="s">
        <v>67</v>
      </c>
    </row>
    <row r="15" spans="2:7" s="3" customFormat="1">
      <c r="B15" s="2" t="s">
        <v>68</v>
      </c>
      <c r="C15" s="3" t="s">
        <v>1</v>
      </c>
      <c r="D15" s="3" t="s">
        <v>69</v>
      </c>
      <c r="E15" s="3" t="s">
        <v>37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3"/>
  <sheetViews>
    <sheetView zoomScaleNormal="100" workbookViewId="0">
      <selection activeCell="C7" sqref="C7"/>
    </sheetView>
  </sheetViews>
  <sheetFormatPr baseColWidth="10" defaultColWidth="10.42578125" defaultRowHeight="16"/>
  <cols>
    <col min="1" max="1" width="9.7109375" customWidth="1"/>
    <col min="2" max="2" width="27.5703125" customWidth="1"/>
    <col min="3" max="3" width="15.5703125" customWidth="1"/>
    <col min="4" max="4" width="20.28515625" customWidth="1"/>
    <col min="5" max="5" width="23.7109375" customWidth="1"/>
    <col min="6" max="6" width="13.5703125" customWidth="1"/>
    <col min="7" max="7" width="12.7109375" customWidth="1"/>
    <col min="8" max="8" width="20.28515625" customWidth="1"/>
  </cols>
  <sheetData>
    <row r="1" spans="2:8" s="3" customFormat="1">
      <c r="B1" s="2" t="s">
        <v>70</v>
      </c>
      <c r="C1" s="2" t="s">
        <v>71</v>
      </c>
      <c r="D1" s="3" t="s">
        <v>1</v>
      </c>
      <c r="E1" s="2" t="s">
        <v>72</v>
      </c>
      <c r="F1" s="3" t="s">
        <v>73</v>
      </c>
      <c r="G1" s="3" t="s">
        <v>74</v>
      </c>
      <c r="H1" s="3" t="s">
        <v>37</v>
      </c>
    </row>
    <row r="2" spans="2:8">
      <c r="B2" t="s">
        <v>75</v>
      </c>
      <c r="C2">
        <v>61</v>
      </c>
      <c r="D2" t="s">
        <v>76</v>
      </c>
      <c r="E2">
        <v>1</v>
      </c>
    </row>
    <row r="5" spans="2:8" s="3" customFormat="1">
      <c r="B5" s="2" t="s">
        <v>77</v>
      </c>
      <c r="C5" s="2" t="s">
        <v>1</v>
      </c>
    </row>
    <row r="6" spans="2:8">
      <c r="B6" t="s">
        <v>78</v>
      </c>
      <c r="C6" t="s">
        <v>79</v>
      </c>
    </row>
    <row r="8" spans="2:8" s="3" customFormat="1">
      <c r="B8" s="2" t="s">
        <v>80</v>
      </c>
      <c r="C8" s="2" t="s">
        <v>1</v>
      </c>
      <c r="D8" s="2" t="s">
        <v>81</v>
      </c>
      <c r="E8" s="3" t="s">
        <v>37</v>
      </c>
    </row>
    <row r="10" spans="2:8">
      <c r="B10" t="s">
        <v>82</v>
      </c>
      <c r="C10" t="s">
        <v>76</v>
      </c>
      <c r="D10" t="str">
        <f>C6</f>
        <v>Nation</v>
      </c>
    </row>
    <row r="12" spans="2:8" s="3" customFormat="1">
      <c r="B12" s="2" t="s">
        <v>83</v>
      </c>
      <c r="C12" s="1" t="s">
        <v>22</v>
      </c>
      <c r="D12" s="2" t="s">
        <v>84</v>
      </c>
      <c r="E12" s="3" t="s">
        <v>85</v>
      </c>
    </row>
    <row r="13" spans="2:8">
      <c r="B13" t="s">
        <v>86</v>
      </c>
      <c r="C13" t="str">
        <f>C10</f>
        <v>AU</v>
      </c>
      <c r="D13">
        <f>C2</f>
        <v>61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7"/>
  <sheetViews>
    <sheetView zoomScaleNormal="100" workbookViewId="0">
      <selection activeCell="C19" sqref="C19"/>
    </sheetView>
  </sheetViews>
  <sheetFormatPr baseColWidth="10" defaultColWidth="10.42578125" defaultRowHeight="16"/>
  <cols>
    <col min="1" max="1" width="9.7109375" customWidth="1"/>
    <col min="2" max="2" width="35.140625" customWidth="1"/>
    <col min="3" max="4" width="35.28515625" customWidth="1"/>
    <col min="5" max="5" width="22.28515625" customWidth="1"/>
    <col min="6" max="6" width="18.5703125" customWidth="1"/>
  </cols>
  <sheetData>
    <row r="1" spans="2:6" s="3" customFormat="1">
      <c r="B1" s="2" t="s">
        <v>87</v>
      </c>
      <c r="C1" s="2" t="s">
        <v>1</v>
      </c>
      <c r="D1" s="3" t="s">
        <v>88</v>
      </c>
      <c r="E1" s="3" t="s">
        <v>36</v>
      </c>
      <c r="F1" s="3" t="s">
        <v>37</v>
      </c>
    </row>
    <row r="3" spans="2:6" s="3" customFormat="1">
      <c r="B3" s="2" t="s">
        <v>89</v>
      </c>
      <c r="C3" s="2" t="s">
        <v>1</v>
      </c>
      <c r="D3" s="3" t="s">
        <v>36</v>
      </c>
      <c r="E3" s="3" t="s">
        <v>37</v>
      </c>
    </row>
    <row r="5" spans="2:6" s="3" customFormat="1">
      <c r="B5" s="2" t="s">
        <v>90</v>
      </c>
      <c r="C5" s="2" t="s">
        <v>91</v>
      </c>
      <c r="D5" s="2" t="s">
        <v>92</v>
      </c>
      <c r="E5" s="2" t="s">
        <v>22</v>
      </c>
      <c r="F5" s="2" t="s">
        <v>93</v>
      </c>
    </row>
    <row r="7" spans="2:6" s="3" customFormat="1">
      <c r="B7" s="2" t="s">
        <v>94</v>
      </c>
      <c r="C7" s="2" t="s">
        <v>92</v>
      </c>
      <c r="D7" s="2" t="s">
        <v>95</v>
      </c>
      <c r="E7" s="2" t="s">
        <v>96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Curves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Sheng H. Xie</dc:creator>
  <dc:description/>
  <cp:lastModifiedBy>Sheng H. Xie</cp:lastModifiedBy>
  <cp:revision>1</cp:revision>
  <dcterms:created xsi:type="dcterms:W3CDTF">2026-01-04T10:59:27Z</dcterms:created>
  <dcterms:modified xsi:type="dcterms:W3CDTF">2026-05-15T04:42:51Z</dcterms:modified>
  <dc:language>en-US</dc:language>
</cp:coreProperties>
</file>