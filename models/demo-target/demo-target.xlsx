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xie/projects/anse-models/demo-target/"/>
    </mc:Choice>
  </mc:AlternateContent>
  <xr:revisionPtr revIDLastSave="0" documentId="13_ncr:1_{BC9AE9E2-F500-3945-8E2B-36C99F307A0A}" xr6:coauthVersionLast="47" xr6:coauthVersionMax="47" xr10:uidLastSave="{00000000-0000-0000-0000-000000000000}"/>
  <bookViews>
    <workbookView xWindow="25600" yWindow="600" windowWidth="25600" windowHeight="26880" xr2:uid="{73351A0E-E394-C94F-8AB9-3EA9DA143F24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8" i="1"/>
  <c r="E4" i="1"/>
  <c r="E5" i="1"/>
  <c r="E6" i="1"/>
  <c r="C8" i="1"/>
  <c r="C6" i="1"/>
  <c r="C5" i="1"/>
  <c r="C4" i="1"/>
  <c r="C3" i="1"/>
  <c r="D50" i="1"/>
  <c r="D51" i="1"/>
  <c r="D52" i="1"/>
  <c r="D49" i="1"/>
  <c r="D45" i="1"/>
  <c r="D44" i="1"/>
  <c r="D43" i="1"/>
  <c r="D16" i="1"/>
  <c r="D15" i="1"/>
  <c r="D14" i="1"/>
  <c r="E45" i="1" l="1"/>
  <c r="C45" i="1"/>
  <c r="C59" i="1" s="1"/>
  <c r="C44" i="1"/>
  <c r="E16" i="1"/>
  <c r="C16" i="1"/>
  <c r="C38" i="1" s="1"/>
  <c r="D54" i="1"/>
  <c r="D55" i="1"/>
  <c r="D56" i="1"/>
  <c r="D57" i="1"/>
  <c r="E43" i="1"/>
  <c r="E44" i="1"/>
  <c r="C43" i="1"/>
  <c r="E14" i="1"/>
  <c r="C15" i="1"/>
  <c r="C10" i="1"/>
  <c r="D39" i="1" s="1"/>
  <c r="D31" i="1"/>
  <c r="D30" i="1"/>
  <c r="D29" i="1"/>
  <c r="D28" i="1"/>
  <c r="C28" i="1"/>
  <c r="D8" i="1"/>
  <c r="D3" i="1"/>
  <c r="E15" i="1"/>
  <c r="D10" i="1"/>
  <c r="D5" i="1"/>
  <c r="D6" i="1"/>
  <c r="D4" i="1"/>
  <c r="D14" i="4"/>
  <c r="D10" i="4"/>
  <c r="C14" i="4"/>
  <c r="D14" i="5"/>
  <c r="C14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21" i="5"/>
  <c r="D27" i="1" l="1"/>
  <c r="C2" i="2"/>
  <c r="C52" i="1"/>
  <c r="C50" i="1"/>
  <c r="C51" i="1"/>
  <c r="C49" i="1"/>
  <c r="C39" i="1"/>
  <c r="C55" i="1"/>
  <c r="D38" i="1"/>
  <c r="C56" i="1"/>
  <c r="C54" i="1"/>
  <c r="C57" i="1"/>
  <c r="C31" i="1"/>
  <c r="C27" i="1"/>
  <c r="C30" i="1"/>
  <c r="C29" i="1"/>
  <c r="D36" i="1" l="1"/>
  <c r="D35" i="1"/>
  <c r="D34" i="1"/>
  <c r="D33" i="1"/>
  <c r="C36" i="1" a="1"/>
  <c r="C36" i="1" s="1"/>
  <c r="C35" i="1" a="1"/>
  <c r="C35" i="1" s="1"/>
  <c r="C34" i="1" a="1"/>
  <c r="C34" i="1" s="1"/>
  <c r="C33" i="1" a="1"/>
  <c r="C33" i="1" s="1"/>
  <c r="C61" i="1" l="1" a="1"/>
  <c r="C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  <author>mhafer</author>
    <author>tc={BC27BDC6-B332-1E4A-B67A-FE37EEA862BB}</author>
  </authors>
  <commentList>
    <comment ref="D1" authorId="0" shapeId="0" xr:uid="{DE5AEED7-5306-0F41-A9F6-E09723C0708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" authorId="1" shapeId="0" xr:uid="{3CFD2D9D-03A4-3D43-B752-639C8A9DCDB2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H1" authorId="1" shapeId="0" xr:uid="{AE144688-A2B4-F142-9E42-AB258D32443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I1" authorId="1" shapeId="0" xr:uid="{10548B0F-45C8-2B40-81CC-02D44A03EDB8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K1" authorId="1" shapeId="0" xr:uid="{79A1913B-90BC-5643-9773-44EE0531D514}">
      <text>
        <r>
          <rPr>
            <sz val="11"/>
            <color indexed="8"/>
            <rFont val="Helvetica Neue"/>
            <family val="2"/>
          </rPr>
          <t>mhafer:
Not currently supported</t>
        </r>
      </text>
    </comment>
    <comment ref="D12" authorId="0" shapeId="0" xr:uid="{0F0EF91A-6A2B-AF42-B0CE-76F64BCDFCAD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E12" authorId="0" shapeId="0" xr:uid="{F5AA7D95-F276-074C-9ED4-8C923FE06A2E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unknown/undefined, enter "0"</t>
        </r>
      </text>
    </comment>
    <comment ref="F12" authorId="0" shapeId="0" xr:uid="{69409D6C-465E-1B44-BBA3-F285EDAE32E0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G12" authorId="0" shapeId="0" xr:uid="{E29E9985-673B-8944-B201-8155952DC7C9}">
      <text>
        <r>
          <rPr>
            <sz val="11"/>
            <color indexed="8"/>
            <rFont val="Helvetica Neue"/>
            <family val="2"/>
          </rPr>
          <t>Magnan, Michael:
This fiield's feature not currently supported</t>
        </r>
      </text>
    </comment>
    <comment ref="J12" authorId="0" shapeId="0" xr:uid="{507231BE-77FA-294B-888E-FDFACCB62F22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This fiield's feature not currently supported</t>
        </r>
      </text>
    </comment>
    <comment ref="E25" authorId="1" shapeId="0" xr:uid="{9A8DBFB5-A8C4-5742-93BF-DAF4DC097001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>Boolean field; valid values are TRUE, FALSE, 1, 0</t>
        </r>
      </text>
    </comment>
    <comment ref="F25" authorId="0" shapeId="0" xr:uid="{9A461DFD-27AB-AC40-9F9F-FF5898DF7467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field. For EVENT_POOL that is not source of carbon for the given Event, Sequence Number corresponds to an ACTION_PARAMETER_OUT component with the same sequence number</t>
        </r>
      </text>
    </comment>
    <comment ref="G25" authorId="0" shapeId="0" xr:uid="{790CC2B7-7F78-1E49-8A29-02AD544379DB}">
      <text>
        <r>
          <rPr>
            <sz val="11"/>
            <color indexed="8"/>
            <rFont val="Helvetica Neue"/>
            <family val="2"/>
          </rPr>
          <t>Magnan, Michael:
Boolean field; valid values are TRUE, FALSE, 1, 0.
If left empty, default is false.</t>
        </r>
      </text>
    </comment>
    <comment ref="D41" authorId="0" shapeId="0" xr:uid="{CB8A6D56-690F-E44F-ABA7-045BB1E9BA3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name of the EVENT for which the ACTION_PARAMETER_SET will be relevant</t>
        </r>
      </text>
    </comment>
    <comment ref="E41" authorId="0" shapeId="0" xr:uid="{0770F6B7-9594-4340-B75D-00EAD4679E04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If unknown, enter "UNIVERSE"</t>
        </r>
      </text>
    </comment>
    <comment ref="F41" authorId="0" shapeId="0" xr:uid="{1B7957D1-F128-AE48-86FE-5A39ACD0DF71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Integer field</t>
        </r>
      </text>
    </comment>
    <comment ref="G41" authorId="0" shapeId="0" xr:uid="{72DD9D24-3A22-B045-B80B-BE3842B8A588}">
      <text>
        <r>
          <rPr>
            <sz val="11"/>
            <color indexed="8"/>
            <rFont val="Helvetica Neue"/>
            <family val="2"/>
          </rPr>
          <t>Magnan, Michael:
String field for recording notes, such as the background reference source for the parameter</t>
        </r>
      </text>
    </comment>
    <comment ref="D47" authorId="0" shapeId="0" xr:uid="{00E1BBAA-B86A-8842-87A5-8788FA382A41}">
      <text>
        <r>
          <rPr>
            <sz val="11"/>
            <color indexed="8"/>
            <rFont val="Helvetica Neue"/>
            <family val="2"/>
          </rPr>
          <t>Magnan, Michael:
Integer field.</t>
        </r>
      </text>
    </comment>
    <comment ref="G47" authorId="2" shapeId="0" xr:uid="{BC27BDC6-B332-1E4A-B67A-FE37EEA862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Magnan, Michael</author>
  </authors>
  <commentList>
    <comment ref="B22" authorId="0" shapeId="0" xr:uid="{CC7F5D1D-B34F-1646-BA4F-A18CC3CBED25}">
      <text>
        <r>
          <rPr>
            <sz val="11"/>
            <color rgb="FF000000"/>
            <rFont val="Helvetica Neue"/>
            <family val="2"/>
          </rPr>
          <t xml:space="preserve">Magnan, Michael:
</t>
        </r>
        <r>
          <rPr>
            <sz val="11"/>
            <color rgb="FF000000"/>
            <rFont val="Helvetica Neue"/>
            <family val="2"/>
          </rPr>
          <t>Not currently implemented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mhafer</author>
  </authors>
  <commentList>
    <comment ref="C1" authorId="0" shapeId="0" xr:uid="{EA202CC9-29F3-D843-B152-881A2002777E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  <comment ref="D1" authorId="0" shapeId="0" xr:uid="{1C18341E-17CA-F744-B49C-E9ECBCC81AB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E1" authorId="0" shapeId="0" xr:uid="{F0CC4848-5E49-0041-B3D5-0A6D38AC9A79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Technically this field is not required, but it is good practice to provide a value </t>
        </r>
      </text>
    </comment>
    <comment ref="G1" authorId="0" shapeId="0" xr:uid="{0D59C2D4-07A0-9147-B057-CE565E9CA9C6}">
      <text>
        <r>
          <rPr>
            <sz val="11"/>
            <color rgb="FF000000"/>
            <rFont val="Helvetica Neue"/>
            <family val="2"/>
          </rPr>
          <t xml:space="preserve">mhafer:
</t>
        </r>
        <r>
          <rPr>
            <sz val="11"/>
            <color rgb="FF000000"/>
            <rFont val="Helvetica Neue"/>
            <family val="2"/>
          </rPr>
          <t xml:space="preserve">Integer field - must be entered here as …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 xml:space="preserve">=TEXT(value, "0")
</t>
        </r>
        <r>
          <rPr>
            <sz val="11"/>
            <color rgb="FF000000"/>
            <rFont val="Helvetica Neue"/>
            <family val="2"/>
          </rPr>
          <t xml:space="preserve">
</t>
        </r>
        <r>
          <rPr>
            <sz val="11"/>
            <color rgb="FF000000"/>
            <rFont val="Helvetica Neue"/>
            <family val="2"/>
          </rPr>
          <t>where value can be any valid Excel expression that resolves to an integer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<sst xmlns="http://schemas.openxmlformats.org/spreadsheetml/2006/main" count="488" uniqueCount="119">
  <si>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</si>
  <si>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</si>
  <si>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</si>
  <si>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</si>
  <si>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</si>
  <si>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</si>
  <si>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</si>
  <si>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</si>
  <si>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</si>
  <si>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</si>
  <si>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</si>
  <si>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</si>
  <si>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</si>
  <si>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</si>
  <si>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</si>
  <si>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</si>
  <si>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</si>
  <si>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</si>
  <si>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</si>
  <si>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</si>
  <si>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</si>
  <si>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</si>
  <si>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</si>
  <si>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</si>
  <si>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</si>
  <si>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</si>
  <si>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</si>
  <si>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</si>
  <si>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</si>
  <si>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</si>
  <si>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</si>
  <si>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</si>
  <si>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</si>
  <si>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</si>
  <si>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</si>
  <si>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</si>
  <si>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UNIVERSE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</si>
  <si>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</si>
  <si>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</si>
  <si>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</si>
  <si>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</si>
  <si>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</si>
  <si>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</si>
  <si>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</si>
  <si>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</si>
  <si>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</si>
  <si>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</si>
  <si>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</si>
  <si>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</si>
  <si>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INITIAL_CMO</t>
  </si>
  <si>
    <t>Keyword: PHYSICAL_STATE</t>
  </si>
  <si>
    <t xml:space="preserve">Description </t>
  </si>
  <si>
    <t>PHYSICAL_STATE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</si>
  <si>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</si>
  <si>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</si>
  <si>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</si>
  <si>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</si>
  <si>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</si>
  <si>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</si>
  <si>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</si>
  <si>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</si>
  <si>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</si>
  <si>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</si>
  <si>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</si>
  <si>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</si>
  <si>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</si>
  <si>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</si>
  <si>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</si>
  <si>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</si>
  <si>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ASU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</si>
  <si>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</si>
  <si>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</si>
  <si>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</si>
  <si>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</si>
  <si>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</si>
  <si>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</si>
  <si>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</si>
  <si>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</si>
  <si>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ASU_GROUP_MEMBER</t>
  </si>
  <si>
    <t>Tag(Name)</t>
  </si>
  <si>
    <t>GIS_Id</t>
  </si>
  <si>
    <t>Includes: ASU_Group(Name)</t>
  </si>
  <si>
    <t>Keyword: CURVE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</si>
  <si>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</si>
  <si>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</si>
  <si>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</si>
  <si>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</si>
  <si>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</si>
  <si>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</si>
  <si>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</si>
  <si>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</si>
  <si>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Usage</t>
  </si>
  <si>
    <t>Is Retained</t>
  </si>
  <si>
    <t>Initial Age</t>
  </si>
  <si>
    <t>Tag (Name)</t>
  </si>
  <si>
    <t>CURVE</t>
  </si>
  <si>
    <t>initial</t>
  </si>
  <si>
    <t>Gamma (2.07 80.2)</t>
  </si>
  <si>
    <t>CURVE_POINT</t>
  </si>
  <si>
    <t>US Residential Gamma Retention</t>
  </si>
  <si>
    <t>CURVE_TYPE_MEMBER</t>
  </si>
  <si>
    <t>CURVE_TYPE</t>
  </si>
  <si>
    <t>CA</t>
  </si>
  <si>
    <t>Xie, 2015</t>
  </si>
  <si>
    <t>Roundwood</t>
  </si>
  <si>
    <t>Sawnwood</t>
  </si>
  <si>
    <t>Panels</t>
  </si>
  <si>
    <t>Paper</t>
  </si>
  <si>
    <t>SPECIES</t>
  </si>
  <si>
    <t>Softwood</t>
  </si>
  <si>
    <t>Hardwood</t>
  </si>
  <si>
    <t>Bioenergy</t>
  </si>
  <si>
    <t>ACTION_TYPE</t>
  </si>
  <si>
    <t>Manufacturing</t>
  </si>
  <si>
    <t>Landfilling</t>
  </si>
  <si>
    <t>Combusting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</si>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</sst>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HelveticaNeue"/>
      <family val="2"/>
    </font>
    <font>
      <sz val="11"/>
      <color indexed="8"/>
      <name val="Helvetica Neue"/>
      <family val="2"/>
    </font>
    <font>
      <sz val="11"/>
      <color rgb="FF000000"/>
      <name val="Helvetica Neue"/>
      <family val="2"/>
    </font>
    <font>
      <b/>
      <sz val="12"/>
      <color theme="1"/>
      <name val="HelveticaNeue"/>
    </font>
    <font>
      <sz val="12"/>
      <color theme="1"/>
      <name val="HelveticaNeue"/>
    </font>
    <font>
      <sz val="12"/>
      <color rgb="FF000000"/>
      <name val="HelveticaNeue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0" fillId="3" borderId="0" xfId="0" applyFill="1"/>
  </cellXfs>
  <cellStyles count="1">
    <cellStyle name="Normal" xfId="0" builtinId="0"/>
  </cellStyles>
  <dxfs count="2">
    <dxf>
      <font>
        <color auto="1"/>
      </font>
      <fill>
        <patternFill patternType="solid">
          <bgColor rgb="FFFFFF99"/>
        </patternFill>
      </fill>
    </dxf>
    <dxf>
      <font>
        <color auto="1"/>
      </font>
      <fill>
        <patternFill patternType="solid"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01F42A6A-86CC-0D46-A8DC-97D0279EAF84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7" personId="{01F42A6A-86CC-0D46-A8DC-97D0279EAF84}" id="{BC27BDC6-B332-1E4A-B67A-FE37EEA862BB}">
    <text xml:space="preserve">The physical state into which the C mass is transformed. Must supply a distinct Physical State here (not Physical State Group)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C300-5F44-C54A-ADD4-2A504DCCAD49}">
  <dimension ref="B1:L61"/>
  <sheetViews>
    <sheetView tabSelected="1" topLeftCell="A14" workbookViewId="0">
      <selection activeCell="F47" sqref="F47:I47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tr">
        <f>"Structural building materials, "&amp;'Inputs - Spatial'!$C$10</f>
        <v>Structural building materials, CA</v>
      </c>
      <c r="D3">
        <f>'Inputs - Spatial'!$C$2</f>
        <v>1</v>
      </c>
    </row>
    <row r="4" spans="2:12" ht="16" customHeight="1">
      <c r="B4" t="s">
        <v>11</v>
      </c>
      <c r="C4" t="str">
        <f>"Residential Dwellings, "&amp;'Inputs - Spatial'!$C$10</f>
        <v>Residential Dwellings, CA</v>
      </c>
      <c r="D4">
        <f>'Inputs - Spatial'!$C$2</f>
        <v>1</v>
      </c>
      <c r="E4" t="str">
        <f>'Inputs - Advanced Curves'!$C$9</f>
        <v>US Residential Gamma Retention</v>
      </c>
    </row>
    <row r="5" spans="2:12" ht="16" customHeight="1">
      <c r="B5" t="s">
        <v>11</v>
      </c>
      <c r="C5" t="str">
        <f>"Repair &amp; Remodeling, "&amp;'Inputs - Spatial'!$C$10</f>
        <v>Repair &amp; Remodeling, CA</v>
      </c>
      <c r="D5">
        <f>'Inputs - Spatial'!$C$2</f>
        <v>1</v>
      </c>
      <c r="E5" t="str">
        <f>'Inputs - Advanced Curves'!$C$9</f>
        <v>US Residential Gamma Retention</v>
      </c>
    </row>
    <row r="6" spans="2:12" ht="16" customHeight="1">
      <c r="B6" t="s">
        <v>11</v>
      </c>
      <c r="C6" t="str">
        <f>"Non-residential building, "&amp;'Inputs - Spatial'!$C$10</f>
        <v>Non-residential building, CA</v>
      </c>
      <c r="D6">
        <f>'Inputs - Spatial'!$C$2</f>
        <v>1</v>
      </c>
      <c r="E6" t="str">
        <f>'Inputs - Advanced Curves'!$C$9</f>
        <v>US Residential Gamma Retention</v>
      </c>
    </row>
    <row r="8" spans="2:12" ht="16" customHeight="1">
      <c r="B8" t="s">
        <v>11</v>
      </c>
      <c r="C8" s="4" t="str">
        <f>"Other Structural Uses, "&amp;'Inputs - Spatial'!$C$10</f>
        <v>Other Structural Uses, CA</v>
      </c>
      <c r="D8">
        <f>'Inputs - Spatial'!$C$2</f>
        <v>1</v>
      </c>
      <c r="E8" t="str">
        <f>'Inputs - Advanced Curves'!$C$9</f>
        <v>US Residential Gamma Retention</v>
      </c>
    </row>
    <row r="10" spans="2:12" ht="16" customHeight="1">
      <c r="B10" t="s">
        <v>11</v>
      </c>
      <c r="C10" t="str">
        <f>"CO2, "&amp;'Inputs - Spatial'!$C$10</f>
        <v>CO2, CA</v>
      </c>
      <c r="D10">
        <f>'Inputs - Spatial'!$C$2</f>
        <v>1</v>
      </c>
    </row>
    <row r="12" spans="2:12" s="3" customFormat="1" ht="16" customHeight="1">
      <c r="B12" s="2" t="s">
        <v>12</v>
      </c>
      <c r="C12" s="2" t="s">
        <v>1</v>
      </c>
      <c r="D12" s="2" t="s">
        <v>13</v>
      </c>
      <c r="E12" s="2" t="s">
        <v>2</v>
      </c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  <c r="L12" s="3" t="s">
        <v>10</v>
      </c>
    </row>
    <row r="14" spans="2:12" ht="16" customHeight="1">
      <c r="B14" t="s">
        <v>20</v>
      </c>
      <c r="C14" t="str">
        <f>"Construction Demand, "&amp;'Inputs - Spatial'!C10</f>
        <v>Construction Demand, CA</v>
      </c>
      <c r="D14" t="str">
        <f>C20</f>
        <v>Manufacturing</v>
      </c>
      <c r="E14">
        <f>'Inputs - Spatial'!$C$2</f>
        <v>1</v>
      </c>
    </row>
    <row r="15" spans="2:12" ht="16" customHeight="1">
      <c r="B15" t="s">
        <v>20</v>
      </c>
      <c r="C15" t="str">
        <f>"Landfilling, "&amp;'Inputs - Spatial'!$C$10</f>
        <v>Landfilling, CA</v>
      </c>
      <c r="D15" t="str">
        <f>C21</f>
        <v>Landfilling</v>
      </c>
      <c r="E15">
        <f>'Inputs - Spatial'!$C$2</f>
        <v>1</v>
      </c>
    </row>
    <row r="16" spans="2:12" ht="16" customHeight="1">
      <c r="B16" t="s">
        <v>20</v>
      </c>
      <c r="C16" t="str">
        <f>"Combusting, "&amp;'Inputs - Spatial'!$C$10</f>
        <v>Combusting, CA</v>
      </c>
      <c r="D16" t="str">
        <f>C22</f>
        <v>Combusting</v>
      </c>
      <c r="E16">
        <f>'Inputs - Spatial'!$C$2</f>
        <v>1</v>
      </c>
    </row>
    <row r="18" spans="2:7" s="3" customFormat="1" ht="16" customHeight="1">
      <c r="B18" s="2" t="s">
        <v>21</v>
      </c>
      <c r="C18" s="2" t="s">
        <v>22</v>
      </c>
    </row>
    <row r="20" spans="2:7" ht="16" customHeight="1">
      <c r="B20" t="s">
        <v>112</v>
      </c>
      <c r="C20" t="s">
        <v>113</v>
      </c>
    </row>
    <row r="21" spans="2:7" ht="16" customHeight="1">
      <c r="B21" t="s">
        <v>112</v>
      </c>
      <c r="C21" t="s">
        <v>114</v>
      </c>
    </row>
    <row r="22" spans="2:7" ht="16" customHeight="1">
      <c r="B22" t="s">
        <v>112</v>
      </c>
      <c r="C22" t="s">
        <v>115</v>
      </c>
    </row>
    <row r="25" spans="2:7" s="3" customFormat="1" ht="16" customHeight="1">
      <c r="B25" s="2" t="s">
        <v>23</v>
      </c>
      <c r="C25" s="2" t="s">
        <v>24</v>
      </c>
      <c r="D25" s="2" t="s">
        <v>25</v>
      </c>
      <c r="E25" s="2" t="s">
        <v>26</v>
      </c>
      <c r="F25" s="2" t="s">
        <v>27</v>
      </c>
      <c r="G25" s="3" t="s">
        <v>28</v>
      </c>
    </row>
    <row r="27" spans="2:7" ht="16" customHeight="1">
      <c r="B27" t="s">
        <v>29</v>
      </c>
      <c r="C27" t="str">
        <f>$C$14</f>
        <v>Construction Demand, CA</v>
      </c>
      <c r="D27" t="str">
        <f>C3</f>
        <v>Structural building materials, CA</v>
      </c>
      <c r="E27" t="b">
        <v>1</v>
      </c>
      <c r="F27">
        <v>1</v>
      </c>
    </row>
    <row r="28" spans="2:7" ht="16" customHeight="1">
      <c r="B28" t="s">
        <v>29</v>
      </c>
      <c r="C28" t="str">
        <f t="shared" ref="C28:C31" si="0">$C$14</f>
        <v>Construction Demand, CA</v>
      </c>
      <c r="D28" t="str">
        <f>C4</f>
        <v>Residential Dwellings, CA</v>
      </c>
      <c r="E28" t="b">
        <v>0</v>
      </c>
      <c r="F28">
        <v>1</v>
      </c>
    </row>
    <row r="29" spans="2:7" ht="16" customHeight="1">
      <c r="B29" t="s">
        <v>29</v>
      </c>
      <c r="C29" t="str">
        <f t="shared" si="0"/>
        <v>Construction Demand, CA</v>
      </c>
      <c r="D29" t="str">
        <f>C5</f>
        <v>Repair &amp; Remodeling, CA</v>
      </c>
      <c r="E29" t="b">
        <v>0</v>
      </c>
      <c r="F29">
        <v>2</v>
      </c>
    </row>
    <row r="30" spans="2:7" ht="16" customHeight="1">
      <c r="B30" t="s">
        <v>29</v>
      </c>
      <c r="C30" t="str">
        <f t="shared" si="0"/>
        <v>Construction Demand, CA</v>
      </c>
      <c r="D30" t="str">
        <f>C6</f>
        <v>Non-residential building, CA</v>
      </c>
      <c r="E30" t="b">
        <v>0</v>
      </c>
      <c r="F30">
        <v>3</v>
      </c>
    </row>
    <row r="31" spans="2:7" ht="16" customHeight="1">
      <c r="B31" t="s">
        <v>29</v>
      </c>
      <c r="C31" t="str">
        <f t="shared" si="0"/>
        <v>Construction Demand, CA</v>
      </c>
      <c r="D31" t="str">
        <f>C8</f>
        <v>Other Structural Uses, CA</v>
      </c>
      <c r="E31" t="b">
        <v>0</v>
      </c>
      <c r="F31">
        <v>4</v>
      </c>
    </row>
    <row r="33" spans="2:10" ht="16" customHeight="1">
      <c r="B33" t="s">
        <v>29</v>
      </c>
      <c r="C33" t="str" cm="1">
        <f t="array" ref="C33">$C$15</f>
        <v>Landfilling, CA</v>
      </c>
      <c r="D33" t="str">
        <f>C4</f>
        <v>Residential Dwellings, CA</v>
      </c>
      <c r="E33" t="b">
        <v>1</v>
      </c>
      <c r="F33">
        <v>1</v>
      </c>
    </row>
    <row r="34" spans="2:10" ht="16" customHeight="1">
      <c r="B34" t="s">
        <v>29</v>
      </c>
      <c r="C34" t="str" cm="1">
        <f t="array" ref="C34">$C$15</f>
        <v>Landfilling, CA</v>
      </c>
      <c r="D34" t="str">
        <f>C5</f>
        <v>Repair &amp; Remodeling, CA</v>
      </c>
      <c r="E34" t="b">
        <v>1</v>
      </c>
      <c r="F34">
        <v>2</v>
      </c>
    </row>
    <row r="35" spans="2:10" ht="16" customHeight="1">
      <c r="B35" t="s">
        <v>29</v>
      </c>
      <c r="C35" t="str" cm="1">
        <f t="array" ref="C35">$C$15</f>
        <v>Landfilling, CA</v>
      </c>
      <c r="D35" t="str">
        <f>C6</f>
        <v>Non-residential building, CA</v>
      </c>
      <c r="E35" t="b">
        <v>1</v>
      </c>
      <c r="F35">
        <v>3</v>
      </c>
    </row>
    <row r="36" spans="2:10" ht="16" customHeight="1">
      <c r="B36" t="s">
        <v>29</v>
      </c>
      <c r="C36" t="str" cm="1">
        <f t="array" ref="C36">$C$15</f>
        <v>Landfilling, CA</v>
      </c>
      <c r="D36" t="str">
        <f>C10</f>
        <v>CO2, CA</v>
      </c>
      <c r="E36" t="b">
        <v>0</v>
      </c>
      <c r="F36">
        <v>1</v>
      </c>
    </row>
    <row r="38" spans="2:10" ht="16" customHeight="1">
      <c r="B38" t="s">
        <v>29</v>
      </c>
      <c r="C38" t="str">
        <f>$C$16</f>
        <v>Combusting, CA</v>
      </c>
      <c r="D38" t="str">
        <f>C8</f>
        <v>Other Structural Uses, CA</v>
      </c>
      <c r="E38" t="b">
        <v>1</v>
      </c>
      <c r="F38">
        <v>1</v>
      </c>
    </row>
    <row r="39" spans="2:10" ht="16" customHeight="1">
      <c r="B39" t="s">
        <v>29</v>
      </c>
      <c r="C39" t="str">
        <f>$C$16</f>
        <v>Combusting, CA</v>
      </c>
      <c r="D39" t="str">
        <f>C10</f>
        <v>CO2, CA</v>
      </c>
      <c r="E39" t="b">
        <v>0</v>
      </c>
      <c r="F39">
        <v>1</v>
      </c>
    </row>
    <row r="41" spans="2:10" s="3" customFormat="1" ht="16" customHeight="1">
      <c r="B41" s="2" t="s">
        <v>30</v>
      </c>
      <c r="C41" s="2" t="s">
        <v>1</v>
      </c>
      <c r="D41" s="2" t="s">
        <v>31</v>
      </c>
      <c r="E41" s="2" t="s">
        <v>19</v>
      </c>
      <c r="F41" s="3" t="s">
        <v>32</v>
      </c>
      <c r="G41" s="3" t="s">
        <v>33</v>
      </c>
      <c r="H41" s="3" t="s">
        <v>34</v>
      </c>
    </row>
    <row r="43" spans="2:10" ht="16" customHeight="1">
      <c r="B43" t="s">
        <v>35</v>
      </c>
      <c r="C43" t="str">
        <f>"Commodity Demand, "&amp;'Inputs - Spatial'!$C$10</f>
        <v>Commodity Demand, CA</v>
      </c>
      <c r="D43" t="str">
        <f>C20</f>
        <v>Manufacturing</v>
      </c>
      <c r="E43" t="str">
        <f>'Inputs - Spatial'!$C$10</f>
        <v>CA</v>
      </c>
    </row>
    <row r="44" spans="2:10" ht="16" customHeight="1">
      <c r="B44" t="s">
        <v>35</v>
      </c>
      <c r="C44" t="str">
        <f>"Landfill Parameters, "&amp;'Inputs - Spatial'!$C$10</f>
        <v>Landfill Parameters, CA</v>
      </c>
      <c r="D44" t="str">
        <f>C21</f>
        <v>Landfilling</v>
      </c>
      <c r="E44" t="str">
        <f>'Inputs - Spatial'!$C$10</f>
        <v>CA</v>
      </c>
    </row>
    <row r="45" spans="2:10" ht="16" customHeight="1">
      <c r="B45" t="s">
        <v>35</v>
      </c>
      <c r="C45" t="str">
        <f>"Combustion Parameters, "&amp;'Inputs - Spatial'!$C$10</f>
        <v>Combustion Parameters, CA</v>
      </c>
      <c r="D45" t="str">
        <f>C22</f>
        <v>Combusting</v>
      </c>
      <c r="E45" t="str">
        <f>'Inputs - Spatial'!$C$10</f>
        <v>CA</v>
      </c>
    </row>
    <row r="47" spans="2:10" s="3" customFormat="1" ht="16" customHeight="1">
      <c r="B47" s="2" t="s">
        <v>37</v>
      </c>
      <c r="C47" s="2" t="s">
        <v>38</v>
      </c>
      <c r="D47" s="2" t="s">
        <v>27</v>
      </c>
      <c r="E47" s="2" t="s">
        <v>39</v>
      </c>
      <c r="F47" s="5" t="s">
        <v>116</v>
      </c>
      <c r="G47" s="5" t="s">
        <v>40</v>
      </c>
      <c r="H47" s="5" t="s">
        <v>117</v>
      </c>
      <c r="I47" s="5" t="s">
        <v>118</v>
      </c>
      <c r="J47" s="3" t="s">
        <v>41</v>
      </c>
    </row>
    <row r="49" spans="2:6" ht="16" customHeight="1">
      <c r="B49" t="s">
        <v>42</v>
      </c>
      <c r="C49" t="str">
        <f>$C$43</f>
        <v>Commodity Demand, CA</v>
      </c>
      <c r="D49">
        <f>F28</f>
        <v>1</v>
      </c>
      <c r="F49">
        <v>30</v>
      </c>
    </row>
    <row r="50" spans="2:6" ht="16" customHeight="1">
      <c r="B50" t="s">
        <v>42</v>
      </c>
      <c r="C50" t="str">
        <f t="shared" ref="C50:C52" si="1">$C$43</f>
        <v>Commodity Demand, CA</v>
      </c>
      <c r="D50">
        <f t="shared" ref="D50:D52" si="2">F29</f>
        <v>2</v>
      </c>
      <c r="F50">
        <v>10</v>
      </c>
    </row>
    <row r="51" spans="2:6" ht="16" customHeight="1">
      <c r="B51" t="s">
        <v>42</v>
      </c>
      <c r="C51" t="str">
        <f t="shared" si="1"/>
        <v>Commodity Demand, CA</v>
      </c>
      <c r="D51">
        <f t="shared" si="2"/>
        <v>3</v>
      </c>
      <c r="F51">
        <v>20</v>
      </c>
    </row>
    <row r="52" spans="2:6" ht="16" customHeight="1">
      <c r="B52" t="s">
        <v>42</v>
      </c>
      <c r="C52" t="str">
        <f t="shared" si="1"/>
        <v>Commodity Demand, CA</v>
      </c>
      <c r="D52">
        <f t="shared" si="2"/>
        <v>4</v>
      </c>
      <c r="F52">
        <v>0</v>
      </c>
    </row>
    <row r="54" spans="2:6" ht="16" customHeight="1">
      <c r="B54" t="s">
        <v>42</v>
      </c>
      <c r="C54" t="str">
        <f>$C$43</f>
        <v>Commodity Demand, CA</v>
      </c>
      <c r="D54">
        <f t="shared" ref="D54:D57" si="3">F28</f>
        <v>1</v>
      </c>
      <c r="E54">
        <v>0</v>
      </c>
    </row>
    <row r="55" spans="2:6" ht="16" customHeight="1">
      <c r="B55" t="s">
        <v>42</v>
      </c>
      <c r="C55" t="str">
        <f t="shared" ref="C55:C57" si="4">$C$43</f>
        <v>Commodity Demand, CA</v>
      </c>
      <c r="D55">
        <f t="shared" si="3"/>
        <v>2</v>
      </c>
      <c r="E55">
        <v>0</v>
      </c>
    </row>
    <row r="56" spans="2:6" ht="16" customHeight="1">
      <c r="B56" t="s">
        <v>42</v>
      </c>
      <c r="C56" t="str">
        <f t="shared" si="4"/>
        <v>Commodity Demand, CA</v>
      </c>
      <c r="D56">
        <f t="shared" si="3"/>
        <v>3</v>
      </c>
      <c r="E56">
        <v>0</v>
      </c>
    </row>
    <row r="57" spans="2:6" ht="16" customHeight="1">
      <c r="B57" t="s">
        <v>42</v>
      </c>
      <c r="C57" t="str">
        <f t="shared" si="4"/>
        <v>Commodity Demand, CA</v>
      </c>
      <c r="D57">
        <f t="shared" si="3"/>
        <v>4</v>
      </c>
      <c r="E57">
        <v>1</v>
      </c>
    </row>
    <row r="59" spans="2:6" ht="16" customHeight="1">
      <c r="B59" t="s">
        <v>42</v>
      </c>
      <c r="C59" t="str">
        <f>C45</f>
        <v>Combustion Parameters, CA</v>
      </c>
      <c r="D59">
        <v>1</v>
      </c>
      <c r="E59">
        <v>1</v>
      </c>
    </row>
    <row r="61" spans="2:6" ht="16" customHeight="1">
      <c r="B61" t="s">
        <v>42</v>
      </c>
      <c r="C61" t="str" cm="1">
        <f t="array" ref="C61">C44</f>
        <v>Landfill Parameters, CA</v>
      </c>
      <c r="D61">
        <v>1</v>
      </c>
      <c r="E61"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2807-D21A-1A49-9C05-E8FAC8B5CEA8}">
  <dimension ref="B1:K2"/>
  <sheetViews>
    <sheetView workbookViewId="0">
      <selection activeCell="J2" sqref="J2"/>
    </sheetView>
  </sheetViews>
  <sheetFormatPr baseColWidth="10" defaultRowHeight="16"/>
  <cols>
    <col min="2" max="2" width="19.28515625" bestFit="1" customWidth="1"/>
    <col min="3" max="3" width="26.5703125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2:11" s="3" customFormat="1">
      <c r="B1" s="2" t="s">
        <v>43</v>
      </c>
      <c r="C1" s="2" t="s">
        <v>44</v>
      </c>
      <c r="D1" s="3" t="s">
        <v>45</v>
      </c>
      <c r="E1" s="1" t="s">
        <v>46</v>
      </c>
      <c r="F1" s="2" t="s">
        <v>47</v>
      </c>
      <c r="G1" s="2" t="s">
        <v>48</v>
      </c>
      <c r="H1" s="3" t="s">
        <v>93</v>
      </c>
      <c r="I1" s="3" t="s">
        <v>94</v>
      </c>
      <c r="J1" s="3" t="s">
        <v>92</v>
      </c>
      <c r="K1" s="3" t="s">
        <v>34</v>
      </c>
    </row>
    <row r="2" spans="2:11">
      <c r="B2" t="s">
        <v>49</v>
      </c>
      <c r="C2" t="str">
        <f>'Inputs - Flow Network'!$C$3</f>
        <v>Structural building materials, CA</v>
      </c>
      <c r="F2">
        <v>100</v>
      </c>
      <c r="G2">
        <v>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C481-AC22-9A46-B3DF-F781248D750D}">
  <dimension ref="B1:G22"/>
  <sheetViews>
    <sheetView workbookViewId="0">
      <selection activeCell="C8" sqref="C8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3" customFormat="1">
      <c r="B1" s="2" t="s">
        <v>50</v>
      </c>
      <c r="C1" s="2" t="s">
        <v>1</v>
      </c>
      <c r="D1" s="3" t="s">
        <v>51</v>
      </c>
    </row>
    <row r="3" spans="2:7">
      <c r="B3" t="s">
        <v>52</v>
      </c>
      <c r="C3" t="s">
        <v>104</v>
      </c>
    </row>
    <row r="4" spans="2:7">
      <c r="B4" t="s">
        <v>52</v>
      </c>
      <c r="C4" t="s">
        <v>105</v>
      </c>
    </row>
    <row r="5" spans="2:7">
      <c r="B5" t="s">
        <v>52</v>
      </c>
      <c r="C5" t="s">
        <v>106</v>
      </c>
    </row>
    <row r="6" spans="2:7">
      <c r="B6" t="s">
        <v>52</v>
      </c>
      <c r="C6" t="s">
        <v>107</v>
      </c>
    </row>
    <row r="7" spans="2:7">
      <c r="B7" t="s">
        <v>52</v>
      </c>
      <c r="C7" t="s">
        <v>111</v>
      </c>
    </row>
    <row r="9" spans="2:7" s="3" customFormat="1">
      <c r="B9" s="2" t="s">
        <v>53</v>
      </c>
      <c r="C9" s="2" t="s">
        <v>1</v>
      </c>
      <c r="D9" s="3" t="s">
        <v>33</v>
      </c>
      <c r="E9" s="3" t="s">
        <v>34</v>
      </c>
    </row>
    <row r="11" spans="2:7" s="3" customFormat="1">
      <c r="B11" s="2" t="s">
        <v>54</v>
      </c>
      <c r="C11" s="2" t="s">
        <v>55</v>
      </c>
      <c r="D11" s="2" t="s">
        <v>56</v>
      </c>
    </row>
    <row r="13" spans="2:7" s="3" customFormat="1">
      <c r="B13" s="2" t="s">
        <v>57</v>
      </c>
      <c r="C13" s="2" t="s">
        <v>1</v>
      </c>
      <c r="D13" s="3" t="s">
        <v>58</v>
      </c>
      <c r="E13" s="3" t="s">
        <v>59</v>
      </c>
      <c r="F13" s="3" t="s">
        <v>33</v>
      </c>
      <c r="G13" s="3" t="s">
        <v>34</v>
      </c>
    </row>
    <row r="15" spans="2:7">
      <c r="B15" t="s">
        <v>108</v>
      </c>
      <c r="C15" t="s">
        <v>109</v>
      </c>
    </row>
    <row r="16" spans="2:7">
      <c r="B16" t="s">
        <v>108</v>
      </c>
      <c r="C16" t="s">
        <v>110</v>
      </c>
    </row>
    <row r="18" spans="2:5" s="3" customFormat="1">
      <c r="B18" s="2" t="s">
        <v>60</v>
      </c>
      <c r="C18" s="2" t="s">
        <v>1</v>
      </c>
      <c r="D18" s="3" t="s">
        <v>33</v>
      </c>
      <c r="E18" s="3" t="s">
        <v>34</v>
      </c>
    </row>
    <row r="20" spans="2:5" s="3" customFormat="1">
      <c r="B20" s="2" t="s">
        <v>61</v>
      </c>
      <c r="C20" s="2" t="s">
        <v>62</v>
      </c>
      <c r="D20" s="2" t="s">
        <v>63</v>
      </c>
    </row>
    <row r="22" spans="2:5" s="3" customFormat="1">
      <c r="B22" s="2" t="s">
        <v>64</v>
      </c>
      <c r="C22" s="3" t="s">
        <v>1</v>
      </c>
      <c r="D22" s="3" t="s">
        <v>65</v>
      </c>
      <c r="E22" s="3" t="s">
        <v>34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93B2-6978-B84E-A9D8-E2FB98D2112C}">
  <dimension ref="B1:H14"/>
  <sheetViews>
    <sheetView workbookViewId="0">
      <selection activeCell="C6" sqref="C6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3" customFormat="1">
      <c r="B1" s="2" t="s">
        <v>66</v>
      </c>
      <c r="C1" s="2" t="s">
        <v>67</v>
      </c>
      <c r="D1" s="3" t="s">
        <v>1</v>
      </c>
      <c r="E1" s="2" t="s">
        <v>68</v>
      </c>
      <c r="F1" s="3" t="s">
        <v>79</v>
      </c>
      <c r="G1" s="3" t="s">
        <v>80</v>
      </c>
      <c r="H1" s="3" t="s">
        <v>34</v>
      </c>
    </row>
    <row r="2" spans="2:8">
      <c r="B2" t="s">
        <v>69</v>
      </c>
      <c r="C2">
        <v>1</v>
      </c>
      <c r="D2" t="s">
        <v>102</v>
      </c>
      <c r="E2">
        <v>998</v>
      </c>
    </row>
    <row r="5" spans="2:8" s="3" customFormat="1">
      <c r="B5" s="2" t="s">
        <v>70</v>
      </c>
      <c r="C5" s="2" t="s">
        <v>1</v>
      </c>
    </row>
    <row r="6" spans="2:8">
      <c r="B6" t="s">
        <v>71</v>
      </c>
      <c r="C6" t="s">
        <v>72</v>
      </c>
    </row>
    <row r="8" spans="2:8" s="3" customFormat="1">
      <c r="B8" s="2" t="s">
        <v>73</v>
      </c>
      <c r="C8" s="2" t="s">
        <v>1</v>
      </c>
      <c r="D8" s="2" t="s">
        <v>74</v>
      </c>
      <c r="E8" s="3" t="s">
        <v>34</v>
      </c>
    </row>
    <row r="10" spans="2:8">
      <c r="B10" t="s">
        <v>75</v>
      </c>
      <c r="C10" t="s">
        <v>102</v>
      </c>
      <c r="D10" t="str">
        <f>C6</f>
        <v>Nation</v>
      </c>
    </row>
    <row r="13" spans="2:8" s="3" customFormat="1">
      <c r="B13" s="2" t="s">
        <v>76</v>
      </c>
      <c r="C13" s="1" t="s">
        <v>19</v>
      </c>
      <c r="D13" s="2" t="s">
        <v>77</v>
      </c>
      <c r="E13" s="3" t="s">
        <v>81</v>
      </c>
    </row>
    <row r="14" spans="2:8">
      <c r="B14" t="s">
        <v>78</v>
      </c>
      <c r="C14" t="str">
        <f>C10</f>
        <v>CA</v>
      </c>
      <c r="D14">
        <f>C2</f>
        <v>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8909-7DF6-1B4A-B922-CF23C08FA7A6}">
  <dimension ref="B1:F321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3" customFormat="1">
      <c r="B1" s="2" t="s">
        <v>82</v>
      </c>
      <c r="C1" s="2" t="s">
        <v>1</v>
      </c>
      <c r="D1" s="3" t="s">
        <v>91</v>
      </c>
      <c r="E1" s="3" t="s">
        <v>33</v>
      </c>
      <c r="F1" s="3" t="s">
        <v>34</v>
      </c>
    </row>
    <row r="3" spans="2:6">
      <c r="B3" t="s">
        <v>95</v>
      </c>
      <c r="C3" t="s">
        <v>97</v>
      </c>
      <c r="D3" t="s">
        <v>96</v>
      </c>
      <c r="E3" t="s">
        <v>103</v>
      </c>
    </row>
    <row r="7" spans="2:6" s="3" customFormat="1">
      <c r="B7" s="2" t="s">
        <v>83</v>
      </c>
      <c r="C7" s="2" t="s">
        <v>1</v>
      </c>
      <c r="D7" s="3" t="s">
        <v>33</v>
      </c>
      <c r="E7" s="3" t="s">
        <v>34</v>
      </c>
    </row>
    <row r="9" spans="2:6">
      <c r="B9" t="s">
        <v>101</v>
      </c>
      <c r="C9" t="s">
        <v>99</v>
      </c>
    </row>
    <row r="12" spans="2:6" s="3" customFormat="1">
      <c r="B12" s="2" t="s">
        <v>84</v>
      </c>
      <c r="C12" s="2" t="s">
        <v>85</v>
      </c>
      <c r="D12" s="2" t="s">
        <v>86</v>
      </c>
      <c r="E12" s="2" t="s">
        <v>19</v>
      </c>
      <c r="F12" s="2" t="s">
        <v>87</v>
      </c>
    </row>
    <row r="14" spans="2:6">
      <c r="B14" t="s">
        <v>100</v>
      </c>
      <c r="C14" t="str">
        <f>C9</f>
        <v>US Residential Gamma Retention</v>
      </c>
      <c r="D14" t="str">
        <f>C3</f>
        <v>Gamma (2.07 80.2)</v>
      </c>
      <c r="E14" t="s">
        <v>36</v>
      </c>
      <c r="F14">
        <v>1</v>
      </c>
    </row>
    <row r="19" spans="2:5" s="3" customFormat="1">
      <c r="B19" s="2" t="s">
        <v>88</v>
      </c>
      <c r="C19" s="2" t="s">
        <v>86</v>
      </c>
      <c r="D19" s="2" t="s">
        <v>89</v>
      </c>
      <c r="E19" s="2" t="s">
        <v>90</v>
      </c>
    </row>
    <row r="21" spans="2:5">
      <c r="B21" t="s">
        <v>98</v>
      </c>
      <c r="C21" t="str">
        <f>$C$3</f>
        <v>Gamma (2.07 80.2)</v>
      </c>
      <c r="D21">
        <v>0</v>
      </c>
      <c r="E21">
        <v>1</v>
      </c>
    </row>
    <row r="22" spans="2:5">
      <c r="B22" t="s">
        <v>98</v>
      </c>
      <c r="C22" t="str">
        <f t="shared" ref="C22:C85" si="0">$C$3</f>
        <v>Gamma (2.07 80.2)</v>
      </c>
      <c r="D22">
        <v>1</v>
      </c>
      <c r="E22">
        <v>0.99994688588141767</v>
      </c>
    </row>
    <row r="23" spans="2:5">
      <c r="B23" t="s">
        <v>98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98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98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98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98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98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98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98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98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98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98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98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98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98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98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98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98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98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98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98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98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98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98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98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98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98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98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98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98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98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98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98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98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98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98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98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98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98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98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98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98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98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98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98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98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98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98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98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98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98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98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98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98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98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98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98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98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98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98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98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98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98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98</v>
      </c>
      <c r="C85" t="str">
        <f t="shared" si="0"/>
        <v>Gamma (2.07 80.2)</v>
      </c>
      <c r="D85">
        <v>64</v>
      </c>
      <c r="E85">
        <v>0.82554110092733834</v>
      </c>
    </row>
    <row r="86" spans="2:5">
      <c r="B86" t="s">
        <v>98</v>
      </c>
      <c r="C86" t="str">
        <f t="shared" ref="C86:C149" si="1">$C$3</f>
        <v>Gamma (2.07 80.2)</v>
      </c>
      <c r="D86">
        <v>65</v>
      </c>
      <c r="E86">
        <v>0.82125781005388543</v>
      </c>
    </row>
    <row r="87" spans="2:5">
      <c r="B87" t="s">
        <v>98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98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98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98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98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98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98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98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98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98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98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98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98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98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98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98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98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98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98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98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98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98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98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98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98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98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98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98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98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98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98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98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98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98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98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98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98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98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98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98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98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98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98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98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98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98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98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98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98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98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98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98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98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98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98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98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98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98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98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98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98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98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98</v>
      </c>
      <c r="C149" t="str">
        <f t="shared" si="1"/>
        <v>Gamma (2.07 80.2)</v>
      </c>
      <c r="D149">
        <v>128</v>
      </c>
      <c r="E149">
        <v>0.5479303500437176</v>
      </c>
    </row>
    <row r="150" spans="2:5">
      <c r="B150" t="s">
        <v>98</v>
      </c>
      <c r="C150" t="str">
        <f t="shared" ref="C150:C213" si="2">$C$3</f>
        <v>Gamma (2.07 80.2)</v>
      </c>
      <c r="D150">
        <v>129</v>
      </c>
      <c r="E150">
        <v>0.54389845385149549</v>
      </c>
    </row>
    <row r="151" spans="2:5">
      <c r="B151" t="s">
        <v>98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98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98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98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98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98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98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98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98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98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98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98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98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98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98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98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98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98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98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98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98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98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98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98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98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98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98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98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98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98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98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98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98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98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98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98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98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98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98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98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98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98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98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98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98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98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98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98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98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98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98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98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98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98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98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98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98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98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98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98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98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98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98</v>
      </c>
      <c r="C213" t="str">
        <f t="shared" si="2"/>
        <v>Gamma (2.07 80.2)</v>
      </c>
      <c r="D213">
        <v>192</v>
      </c>
      <c r="E213">
        <v>0.32800121464592769</v>
      </c>
    </row>
    <row r="214" spans="2:5">
      <c r="B214" t="s">
        <v>98</v>
      </c>
      <c r="C214" t="str">
        <f t="shared" ref="C214:C277" si="3">$C$3</f>
        <v>Gamma (2.07 80.2)</v>
      </c>
      <c r="D214">
        <v>193</v>
      </c>
      <c r="E214">
        <v>0.32520380594261233</v>
      </c>
    </row>
    <row r="215" spans="2:5">
      <c r="B215" t="s">
        <v>98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98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98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98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98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98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98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98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98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98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98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98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98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98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98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98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98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98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98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98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98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98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98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98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98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98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98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98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98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98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98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98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98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98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98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98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98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98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98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98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98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98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98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98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98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98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98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98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98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98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98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98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98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98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98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98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98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98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98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98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98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98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98</v>
      </c>
      <c r="C277" t="str">
        <f t="shared" si="3"/>
        <v>Gamma (2.07 80.2)</v>
      </c>
      <c r="D277">
        <v>256</v>
      </c>
      <c r="E277">
        <v>0.1849351507074648</v>
      </c>
    </row>
    <row r="278" spans="2:5">
      <c r="B278" t="s">
        <v>98</v>
      </c>
      <c r="C278" t="str">
        <f t="shared" ref="C278:C321" si="4">$C$3</f>
        <v>Gamma (2.07 80.2)</v>
      </c>
      <c r="D278">
        <v>257</v>
      </c>
      <c r="E278">
        <v>0.18322288969098965</v>
      </c>
    </row>
    <row r="279" spans="2:5">
      <c r="B279" t="s">
        <v>98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98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98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98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98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98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98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98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98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98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98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98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98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98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98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98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98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98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98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98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98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98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98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98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98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98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98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98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98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98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98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98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98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98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98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98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98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98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98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98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98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98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98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dcterms:created xsi:type="dcterms:W3CDTF">2026-01-04T10:59:27Z</dcterms:created>
  <dcterms:modified xsi:type="dcterms:W3CDTF">2026-05-15T04:46:34Z</dcterms:modified>
</cp:coreProperties>
</file>