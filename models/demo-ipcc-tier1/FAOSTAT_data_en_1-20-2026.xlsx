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ipcc-tier1/"/>
    </mc:Choice>
  </mc:AlternateContent>
  <xr:revisionPtr revIDLastSave="0" documentId="13_ncr:1_{789AE349-6DFF-164B-B859-D0CC0AEBED0D}" xr6:coauthVersionLast="47" xr6:coauthVersionMax="47" xr10:uidLastSave="{00000000-0000-0000-0000-000000000000}"/>
  <bookViews>
    <workbookView xWindow="0" yWindow="600" windowWidth="25600" windowHeight="26880" xr2:uid="{B6588F08-F6F7-9F4B-8806-3701B203176D}"/>
  </bookViews>
  <sheets>
    <sheet name="FAOSTAT_data_en_1-20-2026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1" l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72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3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</calcChain>
</file>

<file path=xl/sharedStrings.xml><?xml version="1.0" encoding="utf-8"?>
<sst xmlns="http://schemas.openxmlformats.org/spreadsheetml/2006/main" count="533" uniqueCount="16">
  <si>
    <t>Domain</t>
  </si>
  <si>
    <t>Area</t>
  </si>
  <si>
    <t>Element</t>
  </si>
  <si>
    <t>Item</t>
  </si>
  <si>
    <t>Year</t>
  </si>
  <si>
    <t>Unit</t>
  </si>
  <si>
    <t>Value</t>
  </si>
  <si>
    <t>Forestry Production and Trade</t>
  </si>
  <si>
    <t>New Zealand</t>
  </si>
  <si>
    <t>Production</t>
  </si>
  <si>
    <t>Sawnwood</t>
  </si>
  <si>
    <t>m3</t>
  </si>
  <si>
    <t>Wood-based panels</t>
  </si>
  <si>
    <t>Paper and paperboard</t>
  </si>
  <si>
    <t>t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</si>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</sst>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HelveticaNeue"/>
      <family val="2"/>
    </font>
    <font>
      <sz val="12"/>
      <color theme="1"/>
      <name val="HelveticaNeu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Neue"/>
      <family val="2"/>
    </font>
    <font>
      <b/>
      <sz val="13"/>
      <color theme="3"/>
      <name val="HelveticaNeue"/>
      <family val="2"/>
    </font>
    <font>
      <b/>
      <sz val="11"/>
      <color theme="3"/>
      <name val="HelveticaNeue"/>
      <family val="2"/>
    </font>
    <font>
      <sz val="12"/>
      <color rgb="FF006100"/>
      <name val="HelveticaNeue"/>
      <family val="2"/>
    </font>
    <font>
      <sz val="12"/>
      <color rgb="FF9C0006"/>
      <name val="HelveticaNeue"/>
      <family val="2"/>
    </font>
    <font>
      <sz val="12"/>
      <color rgb="FF9C5700"/>
      <name val="HelveticaNeue"/>
      <family val="2"/>
    </font>
    <font>
      <sz val="12"/>
      <color rgb="FF3F3F76"/>
      <name val="HelveticaNeue"/>
      <family val="2"/>
    </font>
    <font>
      <b/>
      <sz val="12"/>
      <color rgb="FF3F3F3F"/>
      <name val="HelveticaNeue"/>
      <family val="2"/>
    </font>
    <font>
      <b/>
      <sz val="12"/>
      <color rgb="FFFA7D00"/>
      <name val="HelveticaNeue"/>
      <family val="2"/>
    </font>
    <font>
      <sz val="12"/>
      <color rgb="FFFA7D00"/>
      <name val="HelveticaNeue"/>
      <family val="2"/>
    </font>
    <font>
      <b/>
      <sz val="12"/>
      <color theme="0"/>
      <name val="HelveticaNeue"/>
      <family val="2"/>
    </font>
    <font>
      <sz val="12"/>
      <color rgb="FFFF0000"/>
      <name val="HelveticaNeue"/>
      <family val="2"/>
    </font>
    <font>
      <i/>
      <sz val="12"/>
      <color rgb="FF7F7F7F"/>
      <name val="HelveticaNeue"/>
      <family val="2"/>
    </font>
    <font>
      <b/>
      <sz val="12"/>
      <color theme="1"/>
      <name val="HelveticaNeue"/>
      <family val="2"/>
    </font>
    <font>
      <sz val="12"/>
      <color theme="0"/>
      <name val="Helvetica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762000</xdr:colOff>
      <xdr:row>0</xdr:row>
      <xdr:rowOff>190500</xdr:rowOff>
    </xdr:from>
    <xdr:to>
      <xdr:col>19</xdr:col>
      <xdr:colOff>812800</xdr:colOff>
      <xdr:row>63</xdr:row>
      <xdr:rowOff>188054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648BA2-AA2E-D68F-D205-BFFD67636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2400" y="190500"/>
          <a:ext cx="7670800" cy="12799154"/>
        </a:xfrm>
        <a:prstGeom prst="rect">
          <a:avLst/>
        </a:prstGeom>
      </xdr:spPr>
    </xdr:pic>
    <xdr:clientData/>
  </xdr:twoCellAnchor>
  <xdr:twoCellAnchor editAs="oneCell">
    <xdr:from>
      <xdr:col>11</xdr:col>
      <xdr:colOff>762148</xdr:colOff>
      <xdr:row>64</xdr:row>
      <xdr:rowOff>114299</xdr:rowOff>
    </xdr:from>
    <xdr:to>
      <xdr:col>19</xdr:col>
      <xdr:colOff>781271</xdr:colOff>
      <xdr:row>101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939232-8ADC-3903-15BB-8C339036D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76"/>
        <a:stretch>
          <a:fillRect/>
        </a:stretch>
      </xdr:blipFill>
      <xdr:spPr>
        <a:xfrm>
          <a:off x="12852548" y="13119099"/>
          <a:ext cx="7639123" cy="7594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5B0C-BE4D-EF4F-99D3-ADE017AA0CBD}">
  <dimension ref="A1:H106"/>
  <sheetViews>
    <sheetView tabSelected="1" workbookViewId="0">
      <selection activeCell="K32" sqref="K32"/>
    </sheetView>
  </sheetViews>
  <sheetFormatPr baseColWidth="10" defaultRowHeight="16"/>
  <cols>
    <col min="1" max="1" width="30.140625" customWidth="1"/>
    <col min="6" max="6" width="9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>
      <c r="A2" t="s">
        <v>7</v>
      </c>
      <c r="B2" t="s">
        <v>8</v>
      </c>
      <c r="C2" t="s">
        <v>9</v>
      </c>
      <c r="D2" t="s">
        <v>10</v>
      </c>
      <c r="E2">
        <v>1990</v>
      </c>
      <c r="F2" t="s">
        <v>11</v>
      </c>
      <c r="G2">
        <v>2198000</v>
      </c>
      <c r="H2">
        <f>G2*0.229</f>
        <v>503342</v>
      </c>
    </row>
    <row r="3" spans="1:8">
      <c r="A3" t="s">
        <v>7</v>
      </c>
      <c r="B3" t="s">
        <v>8</v>
      </c>
      <c r="C3" t="s">
        <v>9</v>
      </c>
      <c r="D3" t="s">
        <v>10</v>
      </c>
      <c r="E3">
        <v>1991</v>
      </c>
      <c r="F3" t="s">
        <v>11</v>
      </c>
      <c r="G3">
        <v>2263000</v>
      </c>
      <c r="H3">
        <f t="shared" ref="H3:H36" si="0">G3*0.229</f>
        <v>518227</v>
      </c>
    </row>
    <row r="4" spans="1:8">
      <c r="A4" t="s">
        <v>7</v>
      </c>
      <c r="B4" t="s">
        <v>8</v>
      </c>
      <c r="C4" t="s">
        <v>9</v>
      </c>
      <c r="D4" t="s">
        <v>10</v>
      </c>
      <c r="E4">
        <v>1992</v>
      </c>
      <c r="F4" t="s">
        <v>11</v>
      </c>
      <c r="G4">
        <v>2544000</v>
      </c>
      <c r="H4">
        <f t="shared" si="0"/>
        <v>582576</v>
      </c>
    </row>
    <row r="5" spans="1:8">
      <c r="A5" t="s">
        <v>7</v>
      </c>
      <c r="B5" t="s">
        <v>8</v>
      </c>
      <c r="C5" t="s">
        <v>9</v>
      </c>
      <c r="D5" t="s">
        <v>10</v>
      </c>
      <c r="E5">
        <v>1993</v>
      </c>
      <c r="F5" t="s">
        <v>11</v>
      </c>
      <c r="G5">
        <v>2805000</v>
      </c>
      <c r="H5">
        <f t="shared" si="0"/>
        <v>642345</v>
      </c>
    </row>
    <row r="6" spans="1:8">
      <c r="A6" t="s">
        <v>7</v>
      </c>
      <c r="B6" t="s">
        <v>8</v>
      </c>
      <c r="C6" t="s">
        <v>9</v>
      </c>
      <c r="D6" t="s">
        <v>10</v>
      </c>
      <c r="E6">
        <v>1994</v>
      </c>
      <c r="F6" t="s">
        <v>11</v>
      </c>
      <c r="G6">
        <v>2861000</v>
      </c>
      <c r="H6">
        <f t="shared" si="0"/>
        <v>655169</v>
      </c>
    </row>
    <row r="7" spans="1:8">
      <c r="A7" t="s">
        <v>7</v>
      </c>
      <c r="B7" t="s">
        <v>8</v>
      </c>
      <c r="C7" t="s">
        <v>9</v>
      </c>
      <c r="D7" t="s">
        <v>10</v>
      </c>
      <c r="E7">
        <v>1995</v>
      </c>
      <c r="F7" t="s">
        <v>11</v>
      </c>
      <c r="G7">
        <v>2950000</v>
      </c>
      <c r="H7">
        <f t="shared" si="0"/>
        <v>675550</v>
      </c>
    </row>
    <row r="8" spans="1:8">
      <c r="A8" t="s">
        <v>7</v>
      </c>
      <c r="B8" t="s">
        <v>8</v>
      </c>
      <c r="C8" t="s">
        <v>9</v>
      </c>
      <c r="D8" t="s">
        <v>10</v>
      </c>
      <c r="E8">
        <v>1996</v>
      </c>
      <c r="F8" t="s">
        <v>11</v>
      </c>
      <c r="G8">
        <v>3032000</v>
      </c>
      <c r="H8">
        <f t="shared" si="0"/>
        <v>694328</v>
      </c>
    </row>
    <row r="9" spans="1:8">
      <c r="A9" t="s">
        <v>7</v>
      </c>
      <c r="B9" t="s">
        <v>8</v>
      </c>
      <c r="C9" t="s">
        <v>9</v>
      </c>
      <c r="D9" t="s">
        <v>10</v>
      </c>
      <c r="E9">
        <v>1997</v>
      </c>
      <c r="F9" t="s">
        <v>11</v>
      </c>
      <c r="G9">
        <v>3136000</v>
      </c>
      <c r="H9">
        <f t="shared" si="0"/>
        <v>718144</v>
      </c>
    </row>
    <row r="10" spans="1:8">
      <c r="A10" t="s">
        <v>7</v>
      </c>
      <c r="B10" t="s">
        <v>8</v>
      </c>
      <c r="C10" t="s">
        <v>9</v>
      </c>
      <c r="D10" t="s">
        <v>10</v>
      </c>
      <c r="E10">
        <v>1998</v>
      </c>
      <c r="F10" t="s">
        <v>11</v>
      </c>
      <c r="G10">
        <v>3178000</v>
      </c>
      <c r="H10">
        <f t="shared" si="0"/>
        <v>727762</v>
      </c>
    </row>
    <row r="11" spans="1:8">
      <c r="A11" t="s">
        <v>7</v>
      </c>
      <c r="B11" t="s">
        <v>8</v>
      </c>
      <c r="C11" t="s">
        <v>9</v>
      </c>
      <c r="D11" t="s">
        <v>10</v>
      </c>
      <c r="E11">
        <v>1999</v>
      </c>
      <c r="F11" t="s">
        <v>11</v>
      </c>
      <c r="G11">
        <v>3653000</v>
      </c>
      <c r="H11">
        <f t="shared" si="0"/>
        <v>836537</v>
      </c>
    </row>
    <row r="12" spans="1:8">
      <c r="A12" t="s">
        <v>7</v>
      </c>
      <c r="B12" t="s">
        <v>8</v>
      </c>
      <c r="C12" t="s">
        <v>9</v>
      </c>
      <c r="D12" t="s">
        <v>10</v>
      </c>
      <c r="E12">
        <v>2000</v>
      </c>
      <c r="F12" t="s">
        <v>11</v>
      </c>
      <c r="G12">
        <v>3910000</v>
      </c>
      <c r="H12">
        <f t="shared" si="0"/>
        <v>895390</v>
      </c>
    </row>
    <row r="13" spans="1:8">
      <c r="A13" t="s">
        <v>7</v>
      </c>
      <c r="B13" t="s">
        <v>8</v>
      </c>
      <c r="C13" t="s">
        <v>9</v>
      </c>
      <c r="D13" t="s">
        <v>10</v>
      </c>
      <c r="E13">
        <v>2001</v>
      </c>
      <c r="F13" t="s">
        <v>11</v>
      </c>
      <c r="G13">
        <v>3821000</v>
      </c>
      <c r="H13">
        <f t="shared" si="0"/>
        <v>875009</v>
      </c>
    </row>
    <row r="14" spans="1:8">
      <c r="A14" t="s">
        <v>7</v>
      </c>
      <c r="B14" t="s">
        <v>8</v>
      </c>
      <c r="C14" t="s">
        <v>9</v>
      </c>
      <c r="D14" t="s">
        <v>10</v>
      </c>
      <c r="E14">
        <v>2002</v>
      </c>
      <c r="F14" t="s">
        <v>11</v>
      </c>
      <c r="G14">
        <v>4301000</v>
      </c>
      <c r="H14">
        <f t="shared" si="0"/>
        <v>984929</v>
      </c>
    </row>
    <row r="15" spans="1:8">
      <c r="A15" t="s">
        <v>7</v>
      </c>
      <c r="B15" t="s">
        <v>8</v>
      </c>
      <c r="C15" t="s">
        <v>9</v>
      </c>
      <c r="D15" t="s">
        <v>10</v>
      </c>
      <c r="E15">
        <v>2003</v>
      </c>
      <c r="F15" t="s">
        <v>11</v>
      </c>
      <c r="G15">
        <v>4289000</v>
      </c>
      <c r="H15">
        <f t="shared" si="0"/>
        <v>982181</v>
      </c>
    </row>
    <row r="16" spans="1:8">
      <c r="A16" t="s">
        <v>7</v>
      </c>
      <c r="B16" t="s">
        <v>8</v>
      </c>
      <c r="C16" t="s">
        <v>9</v>
      </c>
      <c r="D16" t="s">
        <v>10</v>
      </c>
      <c r="E16">
        <v>2004</v>
      </c>
      <c r="F16" t="s">
        <v>11</v>
      </c>
      <c r="G16">
        <v>4424000</v>
      </c>
      <c r="H16">
        <f t="shared" si="0"/>
        <v>1013096</v>
      </c>
    </row>
    <row r="17" spans="1:8">
      <c r="A17" t="s">
        <v>7</v>
      </c>
      <c r="B17" t="s">
        <v>8</v>
      </c>
      <c r="C17" t="s">
        <v>9</v>
      </c>
      <c r="D17" t="s">
        <v>10</v>
      </c>
      <c r="E17">
        <v>2005</v>
      </c>
      <c r="F17" t="s">
        <v>11</v>
      </c>
      <c r="G17">
        <v>4271000</v>
      </c>
      <c r="H17">
        <f t="shared" si="0"/>
        <v>978059</v>
      </c>
    </row>
    <row r="18" spans="1:8">
      <c r="A18" t="s">
        <v>7</v>
      </c>
      <c r="B18" t="s">
        <v>8</v>
      </c>
      <c r="C18" t="s">
        <v>9</v>
      </c>
      <c r="D18" t="s">
        <v>10</v>
      </c>
      <c r="E18">
        <v>2006</v>
      </c>
      <c r="F18" t="s">
        <v>11</v>
      </c>
      <c r="G18">
        <v>4292000</v>
      </c>
      <c r="H18">
        <f t="shared" si="0"/>
        <v>982868</v>
      </c>
    </row>
    <row r="19" spans="1:8">
      <c r="A19" t="s">
        <v>7</v>
      </c>
      <c r="B19" t="s">
        <v>8</v>
      </c>
      <c r="C19" t="s">
        <v>9</v>
      </c>
      <c r="D19" t="s">
        <v>10</v>
      </c>
      <c r="E19">
        <v>2007</v>
      </c>
      <c r="F19" t="s">
        <v>11</v>
      </c>
      <c r="G19">
        <v>4457000</v>
      </c>
      <c r="H19">
        <f t="shared" si="0"/>
        <v>1020653</v>
      </c>
    </row>
    <row r="20" spans="1:8">
      <c r="A20" t="s">
        <v>7</v>
      </c>
      <c r="B20" t="s">
        <v>8</v>
      </c>
      <c r="C20" t="s">
        <v>9</v>
      </c>
      <c r="D20" t="s">
        <v>10</v>
      </c>
      <c r="E20">
        <v>2008</v>
      </c>
      <c r="F20" t="s">
        <v>11</v>
      </c>
      <c r="G20">
        <v>3787000</v>
      </c>
      <c r="H20">
        <f t="shared" si="0"/>
        <v>867223</v>
      </c>
    </row>
    <row r="21" spans="1:8">
      <c r="A21" t="s">
        <v>7</v>
      </c>
      <c r="B21" t="s">
        <v>8</v>
      </c>
      <c r="C21" t="s">
        <v>9</v>
      </c>
      <c r="D21" t="s">
        <v>10</v>
      </c>
      <c r="E21">
        <v>2009</v>
      </c>
      <c r="F21" t="s">
        <v>11</v>
      </c>
      <c r="G21">
        <v>3597000</v>
      </c>
      <c r="H21">
        <f t="shared" si="0"/>
        <v>823713</v>
      </c>
    </row>
    <row r="22" spans="1:8">
      <c r="A22" t="s">
        <v>7</v>
      </c>
      <c r="B22" t="s">
        <v>8</v>
      </c>
      <c r="C22" t="s">
        <v>9</v>
      </c>
      <c r="D22" t="s">
        <v>10</v>
      </c>
      <c r="E22">
        <v>2010</v>
      </c>
      <c r="F22" t="s">
        <v>11</v>
      </c>
      <c r="G22">
        <v>4078911</v>
      </c>
      <c r="H22">
        <f t="shared" si="0"/>
        <v>934070.61900000006</v>
      </c>
    </row>
    <row r="23" spans="1:8">
      <c r="A23" t="s">
        <v>7</v>
      </c>
      <c r="B23" t="s">
        <v>8</v>
      </c>
      <c r="C23" t="s">
        <v>9</v>
      </c>
      <c r="D23" t="s">
        <v>10</v>
      </c>
      <c r="E23">
        <v>2011</v>
      </c>
      <c r="F23" t="s">
        <v>11</v>
      </c>
      <c r="G23">
        <v>3831963</v>
      </c>
      <c r="H23">
        <f t="shared" si="0"/>
        <v>877519.527</v>
      </c>
    </row>
    <row r="24" spans="1:8">
      <c r="A24" t="s">
        <v>7</v>
      </c>
      <c r="B24" t="s">
        <v>8</v>
      </c>
      <c r="C24" t="s">
        <v>9</v>
      </c>
      <c r="D24" t="s">
        <v>10</v>
      </c>
      <c r="E24">
        <v>2012</v>
      </c>
      <c r="F24" t="s">
        <v>11</v>
      </c>
      <c r="G24">
        <v>4058599</v>
      </c>
      <c r="H24">
        <f t="shared" si="0"/>
        <v>929419.17100000009</v>
      </c>
    </row>
    <row r="25" spans="1:8">
      <c r="A25" t="s">
        <v>7</v>
      </c>
      <c r="B25" t="s">
        <v>8</v>
      </c>
      <c r="C25" t="s">
        <v>9</v>
      </c>
      <c r="D25" t="s">
        <v>10</v>
      </c>
      <c r="E25">
        <v>2013</v>
      </c>
      <c r="F25" t="s">
        <v>11</v>
      </c>
      <c r="G25">
        <v>3953000</v>
      </c>
      <c r="H25">
        <f t="shared" si="0"/>
        <v>905237</v>
      </c>
    </row>
    <row r="26" spans="1:8">
      <c r="A26" t="s">
        <v>7</v>
      </c>
      <c r="B26" t="s">
        <v>8</v>
      </c>
      <c r="C26" t="s">
        <v>9</v>
      </c>
      <c r="D26" t="s">
        <v>10</v>
      </c>
      <c r="E26">
        <v>2014</v>
      </c>
      <c r="F26" t="s">
        <v>11</v>
      </c>
      <c r="G26">
        <v>3612705</v>
      </c>
      <c r="H26">
        <f t="shared" si="0"/>
        <v>827309.44500000007</v>
      </c>
    </row>
    <row r="27" spans="1:8">
      <c r="A27" t="s">
        <v>7</v>
      </c>
      <c r="B27" t="s">
        <v>8</v>
      </c>
      <c r="C27" t="s">
        <v>9</v>
      </c>
      <c r="D27" t="s">
        <v>10</v>
      </c>
      <c r="E27">
        <v>2015</v>
      </c>
      <c r="F27" t="s">
        <v>11</v>
      </c>
      <c r="G27">
        <v>4049047</v>
      </c>
      <c r="H27">
        <f t="shared" si="0"/>
        <v>927231.76300000004</v>
      </c>
    </row>
    <row r="28" spans="1:8">
      <c r="A28" t="s">
        <v>7</v>
      </c>
      <c r="B28" t="s">
        <v>8</v>
      </c>
      <c r="C28" t="s">
        <v>9</v>
      </c>
      <c r="D28" t="s">
        <v>10</v>
      </c>
      <c r="E28">
        <v>2016</v>
      </c>
      <c r="F28" t="s">
        <v>11</v>
      </c>
      <c r="G28">
        <v>4128386</v>
      </c>
      <c r="H28">
        <f t="shared" si="0"/>
        <v>945400.39400000009</v>
      </c>
    </row>
    <row r="29" spans="1:8">
      <c r="A29" t="s">
        <v>7</v>
      </c>
      <c r="B29" t="s">
        <v>8</v>
      </c>
      <c r="C29" t="s">
        <v>9</v>
      </c>
      <c r="D29" t="s">
        <v>10</v>
      </c>
      <c r="E29">
        <v>2017</v>
      </c>
      <c r="F29" t="s">
        <v>11</v>
      </c>
      <c r="G29">
        <v>4657632</v>
      </c>
      <c r="H29">
        <f t="shared" si="0"/>
        <v>1066597.7280000001</v>
      </c>
    </row>
    <row r="30" spans="1:8">
      <c r="A30" t="s">
        <v>7</v>
      </c>
      <c r="B30" t="s">
        <v>8</v>
      </c>
      <c r="C30" t="s">
        <v>9</v>
      </c>
      <c r="D30" t="s">
        <v>10</v>
      </c>
      <c r="E30">
        <v>2018</v>
      </c>
      <c r="F30" t="s">
        <v>11</v>
      </c>
      <c r="G30">
        <v>4422966</v>
      </c>
      <c r="H30">
        <f t="shared" si="0"/>
        <v>1012859.214</v>
      </c>
    </row>
    <row r="31" spans="1:8">
      <c r="A31" t="s">
        <v>7</v>
      </c>
      <c r="B31" t="s">
        <v>8</v>
      </c>
      <c r="C31" t="s">
        <v>9</v>
      </c>
      <c r="D31" t="s">
        <v>10</v>
      </c>
      <c r="E31">
        <v>2019</v>
      </c>
      <c r="F31" t="s">
        <v>11</v>
      </c>
      <c r="G31">
        <v>4531000</v>
      </c>
      <c r="H31">
        <f t="shared" si="0"/>
        <v>1037599</v>
      </c>
    </row>
    <row r="32" spans="1:8">
      <c r="A32" t="s">
        <v>7</v>
      </c>
      <c r="B32" t="s">
        <v>8</v>
      </c>
      <c r="C32" t="s">
        <v>9</v>
      </c>
      <c r="D32" t="s">
        <v>10</v>
      </c>
      <c r="E32">
        <v>2020</v>
      </c>
      <c r="F32" t="s">
        <v>11</v>
      </c>
      <c r="G32">
        <v>4082321</v>
      </c>
      <c r="H32">
        <f t="shared" si="0"/>
        <v>934851.50900000008</v>
      </c>
    </row>
    <row r="33" spans="1:8">
      <c r="A33" t="s">
        <v>7</v>
      </c>
      <c r="B33" t="s">
        <v>8</v>
      </c>
      <c r="C33" t="s">
        <v>9</v>
      </c>
      <c r="D33" t="s">
        <v>10</v>
      </c>
      <c r="E33">
        <v>2021</v>
      </c>
      <c r="F33" t="s">
        <v>11</v>
      </c>
      <c r="G33">
        <v>4518321</v>
      </c>
      <c r="H33">
        <f t="shared" si="0"/>
        <v>1034695.5090000001</v>
      </c>
    </row>
    <row r="34" spans="1:8">
      <c r="A34" t="s">
        <v>7</v>
      </c>
      <c r="B34" t="s">
        <v>8</v>
      </c>
      <c r="C34" t="s">
        <v>9</v>
      </c>
      <c r="D34" t="s">
        <v>10</v>
      </c>
      <c r="E34">
        <v>2022</v>
      </c>
      <c r="F34" t="s">
        <v>11</v>
      </c>
      <c r="G34">
        <v>4599321</v>
      </c>
      <c r="H34">
        <f t="shared" si="0"/>
        <v>1053244.5090000001</v>
      </c>
    </row>
    <row r="35" spans="1:8">
      <c r="A35" t="s">
        <v>7</v>
      </c>
      <c r="B35" t="s">
        <v>8</v>
      </c>
      <c r="C35" t="s">
        <v>9</v>
      </c>
      <c r="D35" t="s">
        <v>10</v>
      </c>
      <c r="E35">
        <v>2023</v>
      </c>
      <c r="F35" t="s">
        <v>11</v>
      </c>
      <c r="G35">
        <v>3724201</v>
      </c>
      <c r="H35">
        <f t="shared" si="0"/>
        <v>852842.02899999998</v>
      </c>
    </row>
    <row r="36" spans="1:8">
      <c r="A36" t="s">
        <v>7</v>
      </c>
      <c r="B36" t="s">
        <v>8</v>
      </c>
      <c r="C36" t="s">
        <v>9</v>
      </c>
      <c r="D36" t="s">
        <v>10</v>
      </c>
      <c r="E36">
        <v>2024</v>
      </c>
      <c r="F36" t="s">
        <v>11</v>
      </c>
      <c r="G36">
        <v>4150321</v>
      </c>
      <c r="H36">
        <f t="shared" si="0"/>
        <v>950423.50900000008</v>
      </c>
    </row>
    <row r="37" spans="1:8">
      <c r="A37" t="s">
        <v>7</v>
      </c>
      <c r="B37" t="s">
        <v>8</v>
      </c>
      <c r="C37" t="s">
        <v>9</v>
      </c>
      <c r="D37" t="s">
        <v>12</v>
      </c>
      <c r="E37">
        <v>1990</v>
      </c>
      <c r="F37" t="s">
        <v>11</v>
      </c>
      <c r="G37">
        <v>683000</v>
      </c>
      <c r="H37">
        <f>G37*0.269</f>
        <v>183727</v>
      </c>
    </row>
    <row r="38" spans="1:8">
      <c r="A38" t="s">
        <v>7</v>
      </c>
      <c r="B38" t="s">
        <v>8</v>
      </c>
      <c r="C38" t="s">
        <v>9</v>
      </c>
      <c r="D38" t="s">
        <v>12</v>
      </c>
      <c r="E38">
        <v>1991</v>
      </c>
      <c r="F38" t="s">
        <v>11</v>
      </c>
      <c r="G38">
        <v>723000</v>
      </c>
      <c r="H38">
        <f t="shared" ref="H38:H71" si="1">G38*0.269</f>
        <v>194487</v>
      </c>
    </row>
    <row r="39" spans="1:8">
      <c r="A39" t="s">
        <v>7</v>
      </c>
      <c r="B39" t="s">
        <v>8</v>
      </c>
      <c r="C39" t="s">
        <v>9</v>
      </c>
      <c r="D39" t="s">
        <v>12</v>
      </c>
      <c r="E39">
        <v>1992</v>
      </c>
      <c r="F39" t="s">
        <v>11</v>
      </c>
      <c r="G39">
        <v>768000</v>
      </c>
      <c r="H39">
        <f t="shared" si="1"/>
        <v>206592</v>
      </c>
    </row>
    <row r="40" spans="1:8">
      <c r="A40" t="s">
        <v>7</v>
      </c>
      <c r="B40" t="s">
        <v>8</v>
      </c>
      <c r="C40" t="s">
        <v>9</v>
      </c>
      <c r="D40" t="s">
        <v>12</v>
      </c>
      <c r="E40">
        <v>1993</v>
      </c>
      <c r="F40" t="s">
        <v>11</v>
      </c>
      <c r="G40">
        <v>824000</v>
      </c>
      <c r="H40">
        <f t="shared" si="1"/>
        <v>221656</v>
      </c>
    </row>
    <row r="41" spans="1:8">
      <c r="A41" t="s">
        <v>7</v>
      </c>
      <c r="B41" t="s">
        <v>8</v>
      </c>
      <c r="C41" t="s">
        <v>9</v>
      </c>
      <c r="D41" t="s">
        <v>12</v>
      </c>
      <c r="E41">
        <v>1994</v>
      </c>
      <c r="F41" t="s">
        <v>11</v>
      </c>
      <c r="G41">
        <v>963000</v>
      </c>
      <c r="H41">
        <f t="shared" si="1"/>
        <v>259047.00000000003</v>
      </c>
    </row>
    <row r="42" spans="1:8">
      <c r="A42" t="s">
        <v>7</v>
      </c>
      <c r="B42" t="s">
        <v>8</v>
      </c>
      <c r="C42" t="s">
        <v>9</v>
      </c>
      <c r="D42" t="s">
        <v>12</v>
      </c>
      <c r="E42">
        <v>1995</v>
      </c>
      <c r="F42" t="s">
        <v>11</v>
      </c>
      <c r="G42">
        <v>992000</v>
      </c>
      <c r="H42">
        <f t="shared" si="1"/>
        <v>266848</v>
      </c>
    </row>
    <row r="43" spans="1:8">
      <c r="A43" t="s">
        <v>7</v>
      </c>
      <c r="B43" t="s">
        <v>8</v>
      </c>
      <c r="C43" t="s">
        <v>9</v>
      </c>
      <c r="D43" t="s">
        <v>12</v>
      </c>
      <c r="E43">
        <v>1996</v>
      </c>
      <c r="F43" t="s">
        <v>11</v>
      </c>
      <c r="G43">
        <v>932000</v>
      </c>
      <c r="H43">
        <f t="shared" si="1"/>
        <v>250708.00000000003</v>
      </c>
    </row>
    <row r="44" spans="1:8">
      <c r="A44" t="s">
        <v>7</v>
      </c>
      <c r="B44" t="s">
        <v>8</v>
      </c>
      <c r="C44" t="s">
        <v>9</v>
      </c>
      <c r="D44" t="s">
        <v>12</v>
      </c>
      <c r="E44">
        <v>1997</v>
      </c>
      <c r="F44" t="s">
        <v>11</v>
      </c>
      <c r="G44">
        <v>1021000</v>
      </c>
      <c r="H44">
        <f t="shared" si="1"/>
        <v>274649</v>
      </c>
    </row>
    <row r="45" spans="1:8">
      <c r="A45" t="s">
        <v>7</v>
      </c>
      <c r="B45" t="s">
        <v>8</v>
      </c>
      <c r="C45" t="s">
        <v>9</v>
      </c>
      <c r="D45" t="s">
        <v>12</v>
      </c>
      <c r="E45">
        <v>1998</v>
      </c>
      <c r="F45" t="s">
        <v>11</v>
      </c>
      <c r="G45">
        <v>923000</v>
      </c>
      <c r="H45">
        <f t="shared" si="1"/>
        <v>248287.00000000003</v>
      </c>
    </row>
    <row r="46" spans="1:8">
      <c r="A46" t="s">
        <v>7</v>
      </c>
      <c r="B46" t="s">
        <v>8</v>
      </c>
      <c r="C46" t="s">
        <v>9</v>
      </c>
      <c r="D46" t="s">
        <v>12</v>
      </c>
      <c r="E46">
        <v>1999</v>
      </c>
      <c r="F46" t="s">
        <v>11</v>
      </c>
      <c r="G46">
        <v>1117000</v>
      </c>
      <c r="H46">
        <f t="shared" si="1"/>
        <v>300473</v>
      </c>
    </row>
    <row r="47" spans="1:8">
      <c r="A47" t="s">
        <v>7</v>
      </c>
      <c r="B47" t="s">
        <v>8</v>
      </c>
      <c r="C47" t="s">
        <v>9</v>
      </c>
      <c r="D47" t="s">
        <v>12</v>
      </c>
      <c r="E47">
        <v>2000</v>
      </c>
      <c r="F47" t="s">
        <v>11</v>
      </c>
      <c r="G47">
        <v>1255000</v>
      </c>
      <c r="H47">
        <f t="shared" si="1"/>
        <v>337595</v>
      </c>
    </row>
    <row r="48" spans="1:8">
      <c r="A48" t="s">
        <v>7</v>
      </c>
      <c r="B48" t="s">
        <v>8</v>
      </c>
      <c r="C48" t="s">
        <v>9</v>
      </c>
      <c r="D48" t="s">
        <v>12</v>
      </c>
      <c r="E48">
        <v>2001</v>
      </c>
      <c r="F48" t="s">
        <v>11</v>
      </c>
      <c r="G48">
        <v>1269000</v>
      </c>
      <c r="H48">
        <f t="shared" si="1"/>
        <v>341361</v>
      </c>
    </row>
    <row r="49" spans="1:8">
      <c r="A49" t="s">
        <v>7</v>
      </c>
      <c r="B49" t="s">
        <v>8</v>
      </c>
      <c r="C49" t="s">
        <v>9</v>
      </c>
      <c r="D49" t="s">
        <v>12</v>
      </c>
      <c r="E49">
        <v>2002</v>
      </c>
      <c r="F49" t="s">
        <v>11</v>
      </c>
      <c r="G49">
        <v>1386056</v>
      </c>
      <c r="H49">
        <f t="shared" si="1"/>
        <v>372849.06400000001</v>
      </c>
    </row>
    <row r="50" spans="1:8">
      <c r="A50" t="s">
        <v>7</v>
      </c>
      <c r="B50" t="s">
        <v>8</v>
      </c>
      <c r="C50" t="s">
        <v>9</v>
      </c>
      <c r="D50" t="s">
        <v>12</v>
      </c>
      <c r="E50">
        <v>2003</v>
      </c>
      <c r="F50" t="s">
        <v>11</v>
      </c>
      <c r="G50">
        <v>1434714</v>
      </c>
      <c r="H50">
        <f t="shared" si="1"/>
        <v>385938.06600000005</v>
      </c>
    </row>
    <row r="51" spans="1:8">
      <c r="A51" t="s">
        <v>7</v>
      </c>
      <c r="B51" t="s">
        <v>8</v>
      </c>
      <c r="C51" t="s">
        <v>9</v>
      </c>
      <c r="D51" t="s">
        <v>12</v>
      </c>
      <c r="E51">
        <v>2004</v>
      </c>
      <c r="F51" t="s">
        <v>11</v>
      </c>
      <c r="G51">
        <v>1517946</v>
      </c>
      <c r="H51">
        <f t="shared" si="1"/>
        <v>408327.47400000005</v>
      </c>
    </row>
    <row r="52" spans="1:8">
      <c r="A52" t="s">
        <v>7</v>
      </c>
      <c r="B52" t="s">
        <v>8</v>
      </c>
      <c r="C52" t="s">
        <v>9</v>
      </c>
      <c r="D52" t="s">
        <v>12</v>
      </c>
      <c r="E52">
        <v>2005</v>
      </c>
      <c r="F52" t="s">
        <v>11</v>
      </c>
      <c r="G52">
        <v>1503764</v>
      </c>
      <c r="H52">
        <f t="shared" si="1"/>
        <v>404512.516</v>
      </c>
    </row>
    <row r="53" spans="1:8">
      <c r="A53" t="s">
        <v>7</v>
      </c>
      <c r="B53" t="s">
        <v>8</v>
      </c>
      <c r="C53" t="s">
        <v>9</v>
      </c>
      <c r="D53" t="s">
        <v>12</v>
      </c>
      <c r="E53">
        <v>2006</v>
      </c>
      <c r="F53" t="s">
        <v>11</v>
      </c>
      <c r="G53">
        <v>1564889</v>
      </c>
      <c r="H53">
        <f t="shared" si="1"/>
        <v>420955.141</v>
      </c>
    </row>
    <row r="54" spans="1:8">
      <c r="A54" t="s">
        <v>7</v>
      </c>
      <c r="B54" t="s">
        <v>8</v>
      </c>
      <c r="C54" t="s">
        <v>9</v>
      </c>
      <c r="D54" t="s">
        <v>12</v>
      </c>
      <c r="E54">
        <v>2007</v>
      </c>
      <c r="F54" t="s">
        <v>11</v>
      </c>
      <c r="G54">
        <v>1520859</v>
      </c>
      <c r="H54">
        <f t="shared" si="1"/>
        <v>409111.07100000005</v>
      </c>
    </row>
    <row r="55" spans="1:8">
      <c r="A55" t="s">
        <v>7</v>
      </c>
      <c r="B55" t="s">
        <v>8</v>
      </c>
      <c r="C55" t="s">
        <v>9</v>
      </c>
      <c r="D55" t="s">
        <v>12</v>
      </c>
      <c r="E55">
        <v>2008</v>
      </c>
      <c r="F55" t="s">
        <v>11</v>
      </c>
      <c r="G55">
        <v>1380030</v>
      </c>
      <c r="H55">
        <f t="shared" si="1"/>
        <v>371228.07</v>
      </c>
    </row>
    <row r="56" spans="1:8">
      <c r="A56" t="s">
        <v>7</v>
      </c>
      <c r="B56" t="s">
        <v>8</v>
      </c>
      <c r="C56" t="s">
        <v>9</v>
      </c>
      <c r="D56" t="s">
        <v>12</v>
      </c>
      <c r="E56">
        <v>2009</v>
      </c>
      <c r="F56" t="s">
        <v>11</v>
      </c>
      <c r="G56">
        <v>1059803</v>
      </c>
      <c r="H56">
        <f t="shared" si="1"/>
        <v>285087.00700000004</v>
      </c>
    </row>
    <row r="57" spans="1:8">
      <c r="A57" t="s">
        <v>7</v>
      </c>
      <c r="B57" t="s">
        <v>8</v>
      </c>
      <c r="C57" t="s">
        <v>9</v>
      </c>
      <c r="D57" t="s">
        <v>12</v>
      </c>
      <c r="E57">
        <v>2010</v>
      </c>
      <c r="F57" t="s">
        <v>11</v>
      </c>
      <c r="G57">
        <v>1167773</v>
      </c>
      <c r="H57">
        <f t="shared" si="1"/>
        <v>314130.93700000003</v>
      </c>
    </row>
    <row r="58" spans="1:8">
      <c r="A58" t="s">
        <v>7</v>
      </c>
      <c r="B58" t="s">
        <v>8</v>
      </c>
      <c r="C58" t="s">
        <v>9</v>
      </c>
      <c r="D58" t="s">
        <v>12</v>
      </c>
      <c r="E58">
        <v>2011</v>
      </c>
      <c r="F58" t="s">
        <v>11</v>
      </c>
      <c r="G58">
        <v>1222606</v>
      </c>
      <c r="H58">
        <f t="shared" si="1"/>
        <v>328881.01400000002</v>
      </c>
    </row>
    <row r="59" spans="1:8">
      <c r="A59" t="s">
        <v>7</v>
      </c>
      <c r="B59" t="s">
        <v>8</v>
      </c>
      <c r="C59" t="s">
        <v>9</v>
      </c>
      <c r="D59" t="s">
        <v>12</v>
      </c>
      <c r="E59">
        <v>2012</v>
      </c>
      <c r="F59" t="s">
        <v>11</v>
      </c>
      <c r="G59">
        <v>1239821</v>
      </c>
      <c r="H59">
        <f t="shared" si="1"/>
        <v>333511.84900000005</v>
      </c>
    </row>
    <row r="60" spans="1:8">
      <c r="A60" t="s">
        <v>7</v>
      </c>
      <c r="B60" t="s">
        <v>8</v>
      </c>
      <c r="C60" t="s">
        <v>9</v>
      </c>
      <c r="D60" t="s">
        <v>12</v>
      </c>
      <c r="E60">
        <v>2013</v>
      </c>
      <c r="F60" t="s">
        <v>11</v>
      </c>
      <c r="G60">
        <v>1185052</v>
      </c>
      <c r="H60">
        <f t="shared" si="1"/>
        <v>318778.98800000001</v>
      </c>
    </row>
    <row r="61" spans="1:8">
      <c r="A61" t="s">
        <v>7</v>
      </c>
      <c r="B61" t="s">
        <v>8</v>
      </c>
      <c r="C61" t="s">
        <v>9</v>
      </c>
      <c r="D61" t="s">
        <v>12</v>
      </c>
      <c r="E61">
        <v>2014</v>
      </c>
      <c r="F61" t="s">
        <v>11</v>
      </c>
      <c r="G61">
        <v>1239991</v>
      </c>
      <c r="H61">
        <f t="shared" si="1"/>
        <v>333557.57900000003</v>
      </c>
    </row>
    <row r="62" spans="1:8">
      <c r="A62" t="s">
        <v>7</v>
      </c>
      <c r="B62" t="s">
        <v>8</v>
      </c>
      <c r="C62" t="s">
        <v>9</v>
      </c>
      <c r="D62" t="s">
        <v>12</v>
      </c>
      <c r="E62">
        <v>2015</v>
      </c>
      <c r="F62" t="s">
        <v>11</v>
      </c>
      <c r="G62">
        <v>1263740</v>
      </c>
      <c r="H62">
        <f t="shared" si="1"/>
        <v>339946.06</v>
      </c>
    </row>
    <row r="63" spans="1:8">
      <c r="A63" t="s">
        <v>7</v>
      </c>
      <c r="B63" t="s">
        <v>8</v>
      </c>
      <c r="C63" t="s">
        <v>9</v>
      </c>
      <c r="D63" t="s">
        <v>12</v>
      </c>
      <c r="E63">
        <v>2016</v>
      </c>
      <c r="F63" t="s">
        <v>11</v>
      </c>
      <c r="G63">
        <v>1356359</v>
      </c>
      <c r="H63">
        <f t="shared" si="1"/>
        <v>364860.571</v>
      </c>
    </row>
    <row r="64" spans="1:8">
      <c r="A64" t="s">
        <v>7</v>
      </c>
      <c r="B64" t="s">
        <v>8</v>
      </c>
      <c r="C64" t="s">
        <v>9</v>
      </c>
      <c r="D64" t="s">
        <v>12</v>
      </c>
      <c r="E64">
        <v>2017</v>
      </c>
      <c r="F64" t="s">
        <v>11</v>
      </c>
      <c r="G64">
        <v>1346170</v>
      </c>
      <c r="H64">
        <f t="shared" si="1"/>
        <v>362119.73000000004</v>
      </c>
    </row>
    <row r="65" spans="1:8">
      <c r="A65" t="s">
        <v>7</v>
      </c>
      <c r="B65" t="s">
        <v>8</v>
      </c>
      <c r="C65" t="s">
        <v>9</v>
      </c>
      <c r="D65" t="s">
        <v>12</v>
      </c>
      <c r="E65">
        <v>2018</v>
      </c>
      <c r="F65" t="s">
        <v>11</v>
      </c>
      <c r="G65">
        <v>1298085</v>
      </c>
      <c r="H65">
        <f t="shared" si="1"/>
        <v>349184.86500000005</v>
      </c>
    </row>
    <row r="66" spans="1:8">
      <c r="A66" t="s">
        <v>7</v>
      </c>
      <c r="B66" t="s">
        <v>8</v>
      </c>
      <c r="C66" t="s">
        <v>9</v>
      </c>
      <c r="D66" t="s">
        <v>12</v>
      </c>
      <c r="E66">
        <v>2019</v>
      </c>
      <c r="F66" t="s">
        <v>11</v>
      </c>
      <c r="G66">
        <v>1244026</v>
      </c>
      <c r="H66">
        <f t="shared" si="1"/>
        <v>334642.99400000001</v>
      </c>
    </row>
    <row r="67" spans="1:8">
      <c r="A67" t="s">
        <v>7</v>
      </c>
      <c r="B67" t="s">
        <v>8</v>
      </c>
      <c r="C67" t="s">
        <v>9</v>
      </c>
      <c r="D67" t="s">
        <v>12</v>
      </c>
      <c r="E67">
        <v>2020</v>
      </c>
      <c r="F67" t="s">
        <v>11</v>
      </c>
      <c r="G67">
        <v>1078794</v>
      </c>
      <c r="H67">
        <f t="shared" si="1"/>
        <v>290195.58600000001</v>
      </c>
    </row>
    <row r="68" spans="1:8">
      <c r="A68" t="s">
        <v>7</v>
      </c>
      <c r="B68" t="s">
        <v>8</v>
      </c>
      <c r="C68" t="s">
        <v>9</v>
      </c>
      <c r="D68" t="s">
        <v>12</v>
      </c>
      <c r="E68">
        <v>2021</v>
      </c>
      <c r="F68" t="s">
        <v>11</v>
      </c>
      <c r="G68">
        <v>1179325</v>
      </c>
      <c r="H68">
        <f t="shared" si="1"/>
        <v>317238.42500000005</v>
      </c>
    </row>
    <row r="69" spans="1:8">
      <c r="A69" t="s">
        <v>7</v>
      </c>
      <c r="B69" t="s">
        <v>8</v>
      </c>
      <c r="C69" t="s">
        <v>9</v>
      </c>
      <c r="D69" t="s">
        <v>12</v>
      </c>
      <c r="E69">
        <v>2022</v>
      </c>
      <c r="F69" t="s">
        <v>11</v>
      </c>
      <c r="G69">
        <v>1140401</v>
      </c>
      <c r="H69">
        <f t="shared" si="1"/>
        <v>306767.86900000001</v>
      </c>
    </row>
    <row r="70" spans="1:8">
      <c r="A70" t="s">
        <v>7</v>
      </c>
      <c r="B70" t="s">
        <v>8</v>
      </c>
      <c r="C70" t="s">
        <v>9</v>
      </c>
      <c r="D70" t="s">
        <v>12</v>
      </c>
      <c r="E70">
        <v>2023</v>
      </c>
      <c r="F70" t="s">
        <v>11</v>
      </c>
      <c r="G70">
        <v>932602</v>
      </c>
      <c r="H70">
        <f t="shared" si="1"/>
        <v>250869.93800000002</v>
      </c>
    </row>
    <row r="71" spans="1:8">
      <c r="A71" t="s">
        <v>7</v>
      </c>
      <c r="B71" t="s">
        <v>8</v>
      </c>
      <c r="C71" t="s">
        <v>9</v>
      </c>
      <c r="D71" t="s">
        <v>12</v>
      </c>
      <c r="E71">
        <v>2024</v>
      </c>
      <c r="F71" t="s">
        <v>11</v>
      </c>
      <c r="G71">
        <v>933875</v>
      </c>
      <c r="H71">
        <f t="shared" si="1"/>
        <v>251212.37500000003</v>
      </c>
    </row>
    <row r="72" spans="1:8">
      <c r="A72" t="s">
        <v>7</v>
      </c>
      <c r="B72" t="s">
        <v>8</v>
      </c>
      <c r="C72" t="s">
        <v>9</v>
      </c>
      <c r="D72" t="s">
        <v>13</v>
      </c>
      <c r="E72">
        <v>1990</v>
      </c>
      <c r="F72" t="s">
        <v>14</v>
      </c>
      <c r="G72">
        <v>757000</v>
      </c>
      <c r="H72">
        <f>G72*0.386</f>
        <v>292202</v>
      </c>
    </row>
    <row r="73" spans="1:8">
      <c r="A73" t="s">
        <v>7</v>
      </c>
      <c r="B73" t="s">
        <v>8</v>
      </c>
      <c r="C73" t="s">
        <v>9</v>
      </c>
      <c r="D73" t="s">
        <v>13</v>
      </c>
      <c r="E73">
        <v>1991</v>
      </c>
      <c r="F73" t="s">
        <v>14</v>
      </c>
      <c r="G73">
        <v>815000</v>
      </c>
      <c r="H73">
        <f t="shared" ref="H73:H106" si="2">G73*0.386</f>
        <v>314590</v>
      </c>
    </row>
    <row r="74" spans="1:8">
      <c r="A74" t="s">
        <v>7</v>
      </c>
      <c r="B74" t="s">
        <v>8</v>
      </c>
      <c r="C74" t="s">
        <v>9</v>
      </c>
      <c r="D74" t="s">
        <v>13</v>
      </c>
      <c r="E74">
        <v>1992</v>
      </c>
      <c r="F74" t="s">
        <v>14</v>
      </c>
      <c r="G74">
        <v>738000</v>
      </c>
      <c r="H74">
        <f t="shared" si="2"/>
        <v>284868</v>
      </c>
    </row>
    <row r="75" spans="1:8">
      <c r="A75" t="s">
        <v>7</v>
      </c>
      <c r="B75" t="s">
        <v>8</v>
      </c>
      <c r="C75" t="s">
        <v>9</v>
      </c>
      <c r="D75" t="s">
        <v>13</v>
      </c>
      <c r="E75">
        <v>1993</v>
      </c>
      <c r="F75" t="s">
        <v>14</v>
      </c>
      <c r="G75">
        <v>836000</v>
      </c>
      <c r="H75">
        <f t="shared" si="2"/>
        <v>322696</v>
      </c>
    </row>
    <row r="76" spans="1:8">
      <c r="A76" t="s">
        <v>7</v>
      </c>
      <c r="B76" t="s">
        <v>8</v>
      </c>
      <c r="C76" t="s">
        <v>9</v>
      </c>
      <c r="D76" t="s">
        <v>13</v>
      </c>
      <c r="E76">
        <v>1994</v>
      </c>
      <c r="F76" t="s">
        <v>14</v>
      </c>
      <c r="G76">
        <v>864000</v>
      </c>
      <c r="H76">
        <f t="shared" si="2"/>
        <v>333504</v>
      </c>
    </row>
    <row r="77" spans="1:8">
      <c r="A77" t="s">
        <v>7</v>
      </c>
      <c r="B77" t="s">
        <v>8</v>
      </c>
      <c r="C77" t="s">
        <v>9</v>
      </c>
      <c r="D77" t="s">
        <v>13</v>
      </c>
      <c r="E77">
        <v>1995</v>
      </c>
      <c r="F77" t="s">
        <v>14</v>
      </c>
      <c r="G77">
        <v>903000</v>
      </c>
      <c r="H77">
        <f t="shared" si="2"/>
        <v>348558</v>
      </c>
    </row>
    <row r="78" spans="1:8">
      <c r="A78" t="s">
        <v>7</v>
      </c>
      <c r="B78" t="s">
        <v>8</v>
      </c>
      <c r="C78" t="s">
        <v>9</v>
      </c>
      <c r="D78" t="s">
        <v>13</v>
      </c>
      <c r="E78">
        <v>1996</v>
      </c>
      <c r="F78" t="s">
        <v>14</v>
      </c>
      <c r="G78">
        <v>865000</v>
      </c>
      <c r="H78">
        <f t="shared" si="2"/>
        <v>333890</v>
      </c>
    </row>
    <row r="79" spans="1:8">
      <c r="A79" t="s">
        <v>7</v>
      </c>
      <c r="B79" t="s">
        <v>8</v>
      </c>
      <c r="C79" t="s">
        <v>9</v>
      </c>
      <c r="D79" t="s">
        <v>13</v>
      </c>
      <c r="E79">
        <v>1997</v>
      </c>
      <c r="F79" t="s">
        <v>14</v>
      </c>
      <c r="G79">
        <v>890000</v>
      </c>
      <c r="H79">
        <f t="shared" si="2"/>
        <v>343540</v>
      </c>
    </row>
    <row r="80" spans="1:8">
      <c r="A80" t="s">
        <v>7</v>
      </c>
      <c r="B80" t="s">
        <v>8</v>
      </c>
      <c r="C80" t="s">
        <v>9</v>
      </c>
      <c r="D80" t="s">
        <v>13</v>
      </c>
      <c r="E80">
        <v>1998</v>
      </c>
      <c r="F80" t="s">
        <v>14</v>
      </c>
      <c r="G80">
        <v>844000</v>
      </c>
      <c r="H80">
        <f t="shared" si="2"/>
        <v>325784</v>
      </c>
    </row>
    <row r="81" spans="1:8">
      <c r="A81" t="s">
        <v>7</v>
      </c>
      <c r="B81" t="s">
        <v>8</v>
      </c>
      <c r="C81" t="s">
        <v>9</v>
      </c>
      <c r="D81" t="s">
        <v>13</v>
      </c>
      <c r="E81">
        <v>1999</v>
      </c>
      <c r="F81" t="s">
        <v>14</v>
      </c>
      <c r="G81">
        <v>817000</v>
      </c>
      <c r="H81">
        <f t="shared" si="2"/>
        <v>315362</v>
      </c>
    </row>
    <row r="82" spans="1:8">
      <c r="A82" t="s">
        <v>7</v>
      </c>
      <c r="B82" t="s">
        <v>8</v>
      </c>
      <c r="C82" t="s">
        <v>9</v>
      </c>
      <c r="D82" t="s">
        <v>13</v>
      </c>
      <c r="E82">
        <v>2000</v>
      </c>
      <c r="F82" t="s">
        <v>14</v>
      </c>
      <c r="G82">
        <v>877000</v>
      </c>
      <c r="H82">
        <f t="shared" si="2"/>
        <v>338522</v>
      </c>
    </row>
    <row r="83" spans="1:8">
      <c r="A83" t="s">
        <v>7</v>
      </c>
      <c r="B83" t="s">
        <v>8</v>
      </c>
      <c r="C83" t="s">
        <v>9</v>
      </c>
      <c r="D83" t="s">
        <v>13</v>
      </c>
      <c r="E83">
        <v>2001</v>
      </c>
      <c r="F83" t="s">
        <v>14</v>
      </c>
      <c r="G83">
        <v>839000</v>
      </c>
      <c r="H83">
        <f t="shared" si="2"/>
        <v>323854</v>
      </c>
    </row>
    <row r="84" spans="1:8">
      <c r="A84" t="s">
        <v>7</v>
      </c>
      <c r="B84" t="s">
        <v>8</v>
      </c>
      <c r="C84" t="s">
        <v>9</v>
      </c>
      <c r="D84" t="s">
        <v>13</v>
      </c>
      <c r="E84">
        <v>2002</v>
      </c>
      <c r="F84" t="s">
        <v>14</v>
      </c>
      <c r="G84">
        <v>873585</v>
      </c>
      <c r="H84">
        <f t="shared" si="2"/>
        <v>337203.81</v>
      </c>
    </row>
    <row r="85" spans="1:8">
      <c r="A85" t="s">
        <v>7</v>
      </c>
      <c r="B85" t="s">
        <v>8</v>
      </c>
      <c r="C85" t="s">
        <v>9</v>
      </c>
      <c r="D85" t="s">
        <v>13</v>
      </c>
      <c r="E85">
        <v>2003</v>
      </c>
      <c r="F85" t="s">
        <v>14</v>
      </c>
      <c r="G85">
        <v>810130</v>
      </c>
      <c r="H85">
        <f t="shared" si="2"/>
        <v>312710.18</v>
      </c>
    </row>
    <row r="86" spans="1:8">
      <c r="A86" t="s">
        <v>7</v>
      </c>
      <c r="B86" t="s">
        <v>8</v>
      </c>
      <c r="C86" t="s">
        <v>9</v>
      </c>
      <c r="D86" t="s">
        <v>13</v>
      </c>
      <c r="E86">
        <v>2004</v>
      </c>
      <c r="F86" t="s">
        <v>14</v>
      </c>
      <c r="G86">
        <v>916913</v>
      </c>
      <c r="H86">
        <f t="shared" si="2"/>
        <v>353928.41800000001</v>
      </c>
    </row>
    <row r="87" spans="1:8">
      <c r="A87" t="s">
        <v>7</v>
      </c>
      <c r="B87" t="s">
        <v>8</v>
      </c>
      <c r="C87" t="s">
        <v>9</v>
      </c>
      <c r="D87" t="s">
        <v>13</v>
      </c>
      <c r="E87">
        <v>2005</v>
      </c>
      <c r="F87" t="s">
        <v>14</v>
      </c>
      <c r="G87">
        <v>951181</v>
      </c>
      <c r="H87">
        <f t="shared" si="2"/>
        <v>367155.86600000004</v>
      </c>
    </row>
    <row r="88" spans="1:8">
      <c r="A88" t="s">
        <v>7</v>
      </c>
      <c r="B88" t="s">
        <v>8</v>
      </c>
      <c r="C88" t="s">
        <v>9</v>
      </c>
      <c r="D88" t="s">
        <v>13</v>
      </c>
      <c r="E88">
        <v>2006</v>
      </c>
      <c r="F88" t="s">
        <v>14</v>
      </c>
      <c r="G88">
        <v>881399</v>
      </c>
      <c r="H88">
        <f t="shared" si="2"/>
        <v>340220.01400000002</v>
      </c>
    </row>
    <row r="89" spans="1:8">
      <c r="A89" t="s">
        <v>7</v>
      </c>
      <c r="B89" t="s">
        <v>8</v>
      </c>
      <c r="C89" t="s">
        <v>9</v>
      </c>
      <c r="D89" t="s">
        <v>13</v>
      </c>
      <c r="E89">
        <v>2007</v>
      </c>
      <c r="F89" t="s">
        <v>14</v>
      </c>
      <c r="G89">
        <v>859451</v>
      </c>
      <c r="H89">
        <f t="shared" si="2"/>
        <v>331748.08600000001</v>
      </c>
    </row>
    <row r="90" spans="1:8">
      <c r="A90" t="s">
        <v>7</v>
      </c>
      <c r="B90" t="s">
        <v>8</v>
      </c>
      <c r="C90" t="s">
        <v>9</v>
      </c>
      <c r="D90" t="s">
        <v>13</v>
      </c>
      <c r="E90">
        <v>2008</v>
      </c>
      <c r="F90" t="s">
        <v>14</v>
      </c>
      <c r="G90">
        <v>873047</v>
      </c>
      <c r="H90">
        <f t="shared" si="2"/>
        <v>336996.14199999999</v>
      </c>
    </row>
    <row r="91" spans="1:8">
      <c r="A91" t="s">
        <v>7</v>
      </c>
      <c r="B91" t="s">
        <v>8</v>
      </c>
      <c r="C91" t="s">
        <v>9</v>
      </c>
      <c r="D91" t="s">
        <v>13</v>
      </c>
      <c r="E91">
        <v>2009</v>
      </c>
      <c r="F91" t="s">
        <v>14</v>
      </c>
      <c r="G91">
        <v>884639</v>
      </c>
      <c r="H91">
        <f t="shared" si="2"/>
        <v>341470.65399999998</v>
      </c>
    </row>
    <row r="92" spans="1:8">
      <c r="A92" t="s">
        <v>7</v>
      </c>
      <c r="B92" t="s">
        <v>8</v>
      </c>
      <c r="C92" t="s">
        <v>9</v>
      </c>
      <c r="D92" t="s">
        <v>13</v>
      </c>
      <c r="E92">
        <v>2010</v>
      </c>
      <c r="F92" t="s">
        <v>14</v>
      </c>
      <c r="G92">
        <v>888822</v>
      </c>
      <c r="H92">
        <f t="shared" si="2"/>
        <v>343085.29200000002</v>
      </c>
    </row>
    <row r="93" spans="1:8">
      <c r="A93" t="s">
        <v>7</v>
      </c>
      <c r="B93" t="s">
        <v>8</v>
      </c>
      <c r="C93" t="s">
        <v>9</v>
      </c>
      <c r="D93" t="s">
        <v>13</v>
      </c>
      <c r="E93">
        <v>2011</v>
      </c>
      <c r="F93" t="s">
        <v>14</v>
      </c>
      <c r="G93">
        <v>808677</v>
      </c>
      <c r="H93">
        <f t="shared" si="2"/>
        <v>312149.32199999999</v>
      </c>
    </row>
    <row r="94" spans="1:8">
      <c r="A94" t="s">
        <v>7</v>
      </c>
      <c r="B94" t="s">
        <v>8</v>
      </c>
      <c r="C94" t="s">
        <v>9</v>
      </c>
      <c r="D94" t="s">
        <v>13</v>
      </c>
      <c r="E94">
        <v>2012</v>
      </c>
      <c r="F94" t="s">
        <v>14</v>
      </c>
      <c r="G94">
        <v>847189</v>
      </c>
      <c r="H94">
        <f t="shared" si="2"/>
        <v>327014.95400000003</v>
      </c>
    </row>
    <row r="95" spans="1:8">
      <c r="A95" t="s">
        <v>7</v>
      </c>
      <c r="B95" t="s">
        <v>8</v>
      </c>
      <c r="C95" t="s">
        <v>9</v>
      </c>
      <c r="D95" t="s">
        <v>13</v>
      </c>
      <c r="E95">
        <v>2013</v>
      </c>
      <c r="F95" t="s">
        <v>14</v>
      </c>
      <c r="G95">
        <v>730520</v>
      </c>
      <c r="H95">
        <f t="shared" si="2"/>
        <v>281980.72000000003</v>
      </c>
    </row>
    <row r="96" spans="1:8">
      <c r="A96" t="s">
        <v>7</v>
      </c>
      <c r="B96" t="s">
        <v>8</v>
      </c>
      <c r="C96" t="s">
        <v>9</v>
      </c>
      <c r="D96" t="s">
        <v>13</v>
      </c>
      <c r="E96">
        <v>2014</v>
      </c>
      <c r="F96" t="s">
        <v>14</v>
      </c>
      <c r="G96">
        <v>725595</v>
      </c>
      <c r="H96">
        <f t="shared" si="2"/>
        <v>280079.67</v>
      </c>
    </row>
    <row r="97" spans="1:8">
      <c r="A97" t="s">
        <v>7</v>
      </c>
      <c r="B97" t="s">
        <v>8</v>
      </c>
      <c r="C97" t="s">
        <v>9</v>
      </c>
      <c r="D97" t="s">
        <v>13</v>
      </c>
      <c r="E97">
        <v>2015</v>
      </c>
      <c r="F97" t="s">
        <v>14</v>
      </c>
      <c r="G97">
        <v>736068</v>
      </c>
      <c r="H97">
        <f t="shared" si="2"/>
        <v>284122.24800000002</v>
      </c>
    </row>
    <row r="98" spans="1:8">
      <c r="A98" t="s">
        <v>7</v>
      </c>
      <c r="B98" t="s">
        <v>8</v>
      </c>
      <c r="C98" t="s">
        <v>9</v>
      </c>
      <c r="D98" t="s">
        <v>13</v>
      </c>
      <c r="E98">
        <v>2016</v>
      </c>
      <c r="F98" t="s">
        <v>14</v>
      </c>
      <c r="G98">
        <v>739193</v>
      </c>
      <c r="H98">
        <f t="shared" si="2"/>
        <v>285328.49800000002</v>
      </c>
    </row>
    <row r="99" spans="1:8">
      <c r="A99" t="s">
        <v>7</v>
      </c>
      <c r="B99" t="s">
        <v>8</v>
      </c>
      <c r="C99" t="s">
        <v>9</v>
      </c>
      <c r="D99" t="s">
        <v>13</v>
      </c>
      <c r="E99">
        <v>2017</v>
      </c>
      <c r="F99" t="s">
        <v>14</v>
      </c>
      <c r="G99">
        <v>725132</v>
      </c>
      <c r="H99">
        <f t="shared" si="2"/>
        <v>279900.95199999999</v>
      </c>
    </row>
    <row r="100" spans="1:8">
      <c r="A100" t="s">
        <v>7</v>
      </c>
      <c r="B100" t="s">
        <v>8</v>
      </c>
      <c r="C100" t="s">
        <v>9</v>
      </c>
      <c r="D100" t="s">
        <v>13</v>
      </c>
      <c r="E100">
        <v>2018</v>
      </c>
      <c r="F100" t="s">
        <v>14</v>
      </c>
      <c r="G100">
        <v>722393</v>
      </c>
      <c r="H100">
        <f t="shared" si="2"/>
        <v>278843.69800000003</v>
      </c>
    </row>
    <row r="101" spans="1:8">
      <c r="A101" t="s">
        <v>7</v>
      </c>
      <c r="B101" t="s">
        <v>8</v>
      </c>
      <c r="C101" t="s">
        <v>9</v>
      </c>
      <c r="D101" t="s">
        <v>13</v>
      </c>
      <c r="E101">
        <v>2019</v>
      </c>
      <c r="F101" t="s">
        <v>14</v>
      </c>
      <c r="G101">
        <v>723764</v>
      </c>
      <c r="H101">
        <f t="shared" si="2"/>
        <v>279372.90399999998</v>
      </c>
    </row>
    <row r="102" spans="1:8">
      <c r="A102" t="s">
        <v>7</v>
      </c>
      <c r="B102" t="s">
        <v>8</v>
      </c>
      <c r="C102" t="s">
        <v>9</v>
      </c>
      <c r="D102" t="s">
        <v>13</v>
      </c>
      <c r="E102">
        <v>2020</v>
      </c>
      <c r="F102" t="s">
        <v>14</v>
      </c>
      <c r="G102">
        <v>662026</v>
      </c>
      <c r="H102">
        <f t="shared" si="2"/>
        <v>255542.03599999999</v>
      </c>
    </row>
    <row r="103" spans="1:8">
      <c r="A103" t="s">
        <v>7</v>
      </c>
      <c r="B103" t="s">
        <v>8</v>
      </c>
      <c r="C103" t="s">
        <v>9</v>
      </c>
      <c r="D103" t="s">
        <v>13</v>
      </c>
      <c r="E103">
        <v>2021</v>
      </c>
      <c r="F103" t="s">
        <v>14</v>
      </c>
      <c r="G103">
        <v>571168</v>
      </c>
      <c r="H103">
        <f t="shared" si="2"/>
        <v>220470.848</v>
      </c>
    </row>
    <row r="104" spans="1:8">
      <c r="A104" t="s">
        <v>7</v>
      </c>
      <c r="B104" t="s">
        <v>8</v>
      </c>
      <c r="C104" t="s">
        <v>9</v>
      </c>
      <c r="D104" t="s">
        <v>13</v>
      </c>
      <c r="E104">
        <v>2022</v>
      </c>
      <c r="F104" t="s">
        <v>14</v>
      </c>
      <c r="G104">
        <v>525154</v>
      </c>
      <c r="H104">
        <f t="shared" si="2"/>
        <v>202709.44400000002</v>
      </c>
    </row>
    <row r="105" spans="1:8">
      <c r="A105" t="s">
        <v>7</v>
      </c>
      <c r="B105" t="s">
        <v>8</v>
      </c>
      <c r="C105" t="s">
        <v>9</v>
      </c>
      <c r="D105" t="s">
        <v>13</v>
      </c>
      <c r="E105">
        <v>2023</v>
      </c>
      <c r="F105" t="s">
        <v>14</v>
      </c>
      <c r="G105">
        <v>480247</v>
      </c>
      <c r="H105">
        <f t="shared" si="2"/>
        <v>185375.342</v>
      </c>
    </row>
    <row r="106" spans="1:8">
      <c r="A106" t="s">
        <v>7</v>
      </c>
      <c r="B106" t="s">
        <v>8</v>
      </c>
      <c r="C106" t="s">
        <v>9</v>
      </c>
      <c r="D106" t="s">
        <v>13</v>
      </c>
      <c r="E106">
        <v>2024</v>
      </c>
      <c r="F106" t="s">
        <v>14</v>
      </c>
      <c r="G106">
        <v>533000</v>
      </c>
      <c r="H106">
        <f t="shared" si="2"/>
        <v>205738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FAOSTAT_data_en_1-20-2026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H. Xie</cp:lastModifiedBy>
  <dcterms:created xsi:type="dcterms:W3CDTF">2026-01-23T00:19:30Z</dcterms:created>
  <dcterms:modified xsi:type="dcterms:W3CDTF">2026-05-19T22:24:18Z</dcterms:modified>
</cp:coreProperties>
</file>