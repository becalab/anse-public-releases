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hxie/projects/anse-models/demo-ipcc-tier1/"/>
    </mc:Choice>
  </mc:AlternateContent>
  <xr:revisionPtr revIDLastSave="0" documentId="13_ncr:1_{B06F3FF3-7AC4-8D45-8719-E024358B4C3F}" xr6:coauthVersionLast="47" xr6:coauthVersionMax="47" xr10:uidLastSave="{00000000-0000-0000-0000-000000000000}"/>
  <bookViews>
    <workbookView xWindow="17600" yWindow="8080" windowWidth="33600" windowHeight="19300" tabRatio="500" activeTab="1" xr2:uid="{00000000-000D-0000-FFFF-FFFF00000000}"/>
  </bookViews>
  <sheets>
    <sheet name="Inputs - Flow Network" sheetId="1" r:id="rId1"/>
    <sheet name="Inputs - Carbon Mas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2" l="1"/>
  <c r="C4" i="2"/>
  <c r="C3" i="2"/>
  <c r="J113" i="2"/>
  <c r="C113" i="2"/>
  <c r="J112" i="2"/>
  <c r="C112" i="2"/>
  <c r="J111" i="2"/>
  <c r="C111" i="2"/>
  <c r="J110" i="2"/>
  <c r="C110" i="2"/>
  <c r="J109" i="2"/>
  <c r="C109" i="2"/>
  <c r="J108" i="2"/>
  <c r="C108" i="2"/>
  <c r="J107" i="2"/>
  <c r="C107" i="2"/>
  <c r="J106" i="2"/>
  <c r="C106" i="2"/>
  <c r="J105" i="2"/>
  <c r="C105" i="2"/>
  <c r="J104" i="2"/>
  <c r="C104" i="2"/>
  <c r="J103" i="2"/>
  <c r="C103" i="2"/>
  <c r="J102" i="2"/>
  <c r="C102" i="2"/>
  <c r="J101" i="2"/>
  <c r="C101" i="2"/>
  <c r="J100" i="2"/>
  <c r="C100" i="2"/>
  <c r="J99" i="2"/>
  <c r="C99" i="2"/>
  <c r="J98" i="2"/>
  <c r="C98" i="2"/>
  <c r="J97" i="2"/>
  <c r="C97" i="2"/>
  <c r="J96" i="2"/>
  <c r="C96" i="2"/>
  <c r="J95" i="2"/>
  <c r="C95" i="2"/>
  <c r="J94" i="2"/>
  <c r="C94" i="2"/>
  <c r="J93" i="2"/>
  <c r="C93" i="2"/>
  <c r="J92" i="2"/>
  <c r="C92" i="2"/>
  <c r="J91" i="2"/>
  <c r="C91" i="2"/>
  <c r="J90" i="2"/>
  <c r="C90" i="2"/>
  <c r="J89" i="2"/>
  <c r="C89" i="2"/>
  <c r="J88" i="2"/>
  <c r="C88" i="2"/>
  <c r="J87" i="2"/>
  <c r="C87" i="2"/>
  <c r="J86" i="2"/>
  <c r="C86" i="2"/>
  <c r="J85" i="2"/>
  <c r="C85" i="2"/>
  <c r="J84" i="2"/>
  <c r="C84" i="2"/>
  <c r="J83" i="2"/>
  <c r="C83" i="2"/>
  <c r="J82" i="2"/>
  <c r="C82" i="2"/>
  <c r="J81" i="2"/>
  <c r="C81" i="2"/>
  <c r="J80" i="2"/>
  <c r="C80" i="2"/>
  <c r="J79" i="2"/>
  <c r="C79" i="2"/>
  <c r="J77" i="2"/>
  <c r="C77" i="2"/>
  <c r="J76" i="2"/>
  <c r="C76" i="2"/>
  <c r="J75" i="2"/>
  <c r="C75" i="2"/>
  <c r="J74" i="2"/>
  <c r="C74" i="2"/>
  <c r="J73" i="2"/>
  <c r="C73" i="2"/>
  <c r="J72" i="2"/>
  <c r="C72" i="2"/>
  <c r="J71" i="2"/>
  <c r="C71" i="2"/>
  <c r="J70" i="2"/>
  <c r="C70" i="2"/>
  <c r="J69" i="2"/>
  <c r="C69" i="2"/>
  <c r="J68" i="2"/>
  <c r="C68" i="2"/>
  <c r="J67" i="2"/>
  <c r="C67" i="2"/>
  <c r="J66" i="2"/>
  <c r="C66" i="2"/>
  <c r="J65" i="2"/>
  <c r="C65" i="2"/>
  <c r="J64" i="2"/>
  <c r="C64" i="2"/>
  <c r="J63" i="2"/>
  <c r="C63" i="2"/>
  <c r="J62" i="2"/>
  <c r="C62" i="2"/>
  <c r="J61" i="2"/>
  <c r="C61" i="2"/>
  <c r="J60" i="2"/>
  <c r="C60" i="2"/>
  <c r="J59" i="2"/>
  <c r="C59" i="2"/>
  <c r="J58" i="2"/>
  <c r="C58" i="2"/>
  <c r="J57" i="2"/>
  <c r="C57" i="2"/>
  <c r="J56" i="2"/>
  <c r="C56" i="2"/>
  <c r="J55" i="2"/>
  <c r="C55" i="2"/>
  <c r="J54" i="2"/>
  <c r="C54" i="2"/>
  <c r="J53" i="2"/>
  <c r="C53" i="2"/>
  <c r="J52" i="2"/>
  <c r="C52" i="2"/>
  <c r="J51" i="2"/>
  <c r="C51" i="2"/>
  <c r="J50" i="2"/>
  <c r="C50" i="2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J20" i="2"/>
  <c r="C20" i="2"/>
  <c r="J19" i="2"/>
  <c r="C19" i="2"/>
  <c r="J18" i="2"/>
  <c r="C18" i="2"/>
  <c r="J17" i="2"/>
  <c r="C17" i="2"/>
  <c r="J16" i="2"/>
  <c r="C16" i="2"/>
  <c r="J15" i="2"/>
  <c r="C15" i="2"/>
  <c r="J14" i="2"/>
  <c r="C14" i="2"/>
  <c r="J13" i="2"/>
  <c r="C13" i="2"/>
  <c r="J12" i="2"/>
  <c r="C12" i="2"/>
  <c r="J11" i="2"/>
  <c r="C11" i="2"/>
  <c r="J10" i="2"/>
  <c r="C10" i="2"/>
  <c r="J9" i="2"/>
  <c r="C9" i="2"/>
  <c r="J8" i="2"/>
  <c r="C8" i="2"/>
  <c r="J7" i="2"/>
  <c r="C7" i="2"/>
  <c r="E18" i="1"/>
  <c r="D18" i="1"/>
  <c r="C18" i="1" a="1"/>
  <c r="C18" i="1"/>
  <c r="C22" i="1" s="1"/>
  <c r="E17" i="1"/>
  <c r="D17" i="1"/>
  <c r="C17" i="1" a="1"/>
  <c r="C17" i="1" s="1"/>
  <c r="E16" i="1"/>
  <c r="D16" i="1"/>
  <c r="C16" i="1" a="1"/>
  <c r="C16" i="1" s="1"/>
  <c r="E15" i="1"/>
  <c r="D15" i="1"/>
  <c r="C15" i="1" a="1"/>
  <c r="C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  <author>mhafer</author>
    <author>tc={EA02F274-9612-194F-9DF5-9E40A0659A32}</author>
  </authors>
  <commentList>
    <comment ref="D1" authorId="0" shapeId="0" xr:uid="{00000000-0006-0000-0000-000001000000}">
      <text>
        <r>
          <rPr>
            <sz val="10"/>
            <color rgb="FF000000"/>
            <rFont val="Calibri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If unknown/undefined, enter "0"</t>
        </r>
      </text>
    </comment>
    <comment ref="F1" authorId="1" shapeId="0" xr:uid="{00000000-0006-0000-0000-000008000000}">
      <text>
        <r>
          <rPr>
            <sz val="10"/>
            <rFont val="Calibri"/>
            <family val="2"/>
          </rPr>
          <t>mhafer:
Not currently supported</t>
        </r>
      </text>
    </comment>
    <comment ref="H1" authorId="1" shapeId="0" xr:uid="{00000000-0006-0000-0000-000010000000}">
      <text>
        <r>
          <rPr>
            <sz val="10"/>
            <rFont val="Calibri"/>
            <family val="2"/>
          </rPr>
          <t>mhafer:
Not currently supported</t>
        </r>
      </text>
    </comment>
    <comment ref="I1" authorId="1" shapeId="0" xr:uid="{00000000-0006-0000-0000-000011000000}">
      <text>
        <r>
          <rPr>
            <sz val="10"/>
            <rFont val="Calibri"/>
            <family val="2"/>
          </rPr>
          <t>mhafer:
Not currently supported</t>
        </r>
      </text>
    </comment>
    <comment ref="K1" authorId="1" shapeId="0" xr:uid="{00000000-0006-0000-0000-000013000000}">
      <text>
        <r>
          <rPr>
            <sz val="10"/>
            <rFont val="Calibri"/>
            <family val="2"/>
          </rPr>
          <t>mhafer:
Not currently supported</t>
        </r>
      </text>
    </comment>
    <comment ref="D9" authorId="0" shapeId="0" xr:uid="{00000000-0006-0000-0000-000002000000}">
      <text>
        <r>
          <rPr>
            <sz val="10"/>
            <rFont val="Calibri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If unknown/undefined, enter "0"</t>
        </r>
      </text>
    </comment>
    <comment ref="E9" authorId="0" shapeId="0" xr:uid="{00000000-0006-0000-0000-000005000000}">
      <text>
        <r>
          <rPr>
            <sz val="10"/>
            <rFont val="Calibri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If unknown/undefined, enter "0"</t>
        </r>
      </text>
    </comment>
    <comment ref="F9" authorId="0" shapeId="0" xr:uid="{00000000-0006-0000-0000-000009000000}">
      <text>
        <r>
          <rPr>
            <sz val="10"/>
            <rFont val="Calibri"/>
            <family val="2"/>
          </rPr>
          <t>Magnan, Michael:
This fiield's feature not currently supported</t>
        </r>
      </text>
    </comment>
    <comment ref="G9" authorId="0" shapeId="0" xr:uid="{00000000-0006-0000-0000-00000C000000}">
      <text>
        <r>
          <rPr>
            <sz val="10"/>
            <rFont val="Calibri"/>
            <family val="2"/>
          </rPr>
          <t>Magnan, Michael:
This fiield's feature not currently supported</t>
        </r>
      </text>
    </comment>
    <comment ref="J9" authorId="0" shapeId="0" xr:uid="{00000000-0006-0000-0000-000012000000}">
      <text>
        <r>
          <rPr>
            <sz val="10"/>
            <rFont val="Calibri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This fiield's feature not currently supported</t>
        </r>
      </text>
    </comment>
    <comment ref="E13" authorId="1" shapeId="0" xr:uid="{00000000-0006-0000-0000-000006000000}">
      <text>
        <r>
          <rPr>
            <sz val="10"/>
            <rFont val="Calibri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  <charset val="1"/>
          </rPr>
          <t>Boolean field; valid values are TRUE, FALSE, 1, 0</t>
        </r>
      </text>
    </comment>
    <comment ref="F13" authorId="0" shapeId="0" xr:uid="{00000000-0006-0000-0000-00000A000000}">
      <text>
        <r>
          <rPr>
            <sz val="10"/>
            <rFont val="Calibri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  <charset val="1"/>
          </rPr>
          <t>Integer field. For EVENT_POOL that is not source of carbon for the given Event, Sequence Number corresponds to an ACTION_PARAMETER_OUT component with the same sequence number</t>
        </r>
      </text>
    </comment>
    <comment ref="G13" authorId="0" shapeId="0" xr:uid="{00000000-0006-0000-0000-00000D000000}">
      <text>
        <r>
          <rPr>
            <sz val="10"/>
            <rFont val="Calibri"/>
            <family val="2"/>
          </rPr>
          <t>Magnan, Michael:
Boolean field; valid values are TRUE, FALSE, 1, 0.
If left empty, default is false.</t>
        </r>
      </text>
    </comment>
    <comment ref="D20" authorId="0" shapeId="0" xr:uid="{00000000-0006-0000-0000-000004000000}">
      <text>
        <r>
          <rPr>
            <sz val="10"/>
            <color rgb="FF000000"/>
            <rFont val="Calibri"/>
            <family val="2"/>
          </rPr>
          <t xml:space="preserve">Magnan, Michael:
</t>
        </r>
        <r>
          <rPr>
            <sz val="10"/>
            <color rgb="FF000000"/>
            <rFont val="Calibri"/>
            <family val="2"/>
          </rPr>
          <t>Integer field.</t>
        </r>
      </text>
    </comment>
    <comment ref="G20" authorId="2" shapeId="0" xr:uid="{EA02F274-9612-194F-9DF5-9E40A0659A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sharedStrings.xml><?xml version="1.0" encoding="utf-8"?>
<sst xmlns="http://schemas.openxmlformats.org/spreadsheetml/2006/main" count="278" uniqueCount="57">
  <si>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</si>
  <si>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</si>
  <si>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</si>
  <si>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</si>
  <si>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</si>
  <si>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</si>
  <si>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</si>
  <si>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</si>
  <si>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</si>
  <si>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</si>
  <si>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</si>
  <si>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</si>
  <si>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Sawnwood</t>
  </si>
  <si>
    <t>IPCC default-sawnwood</t>
  </si>
  <si>
    <t>Panels</t>
  </si>
  <si>
    <t>IPCC default-panels</t>
  </si>
  <si>
    <t>Paper</t>
  </si>
  <si>
    <t>IPCC default-paper</t>
  </si>
  <si>
    <t>CO2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</si>
  <si>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</si>
  <si>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</si>
  <si>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</si>
  <si>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</si>
  <si>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</si>
  <si>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</si>
  <si>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</si>
  <si>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</si>
  <si>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</si>
  <si>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Landfilling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</si>
  <si>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</si>
  <si>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</si>
  <si>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</si>
  <si>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</si>
  <si>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</si>
  <si>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</si>
  <si>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</si>
  <si>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Description</t>
  </si>
  <si>
    <t>Keyword: ACTION_PARAMETER_OUT</t>
  </si>
  <si>
    <t>Proportion</t>
  </si>
  <si>
    <t>New Physical State Name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</si>
  <si>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</si>
  <si>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</si>
  <si>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</si>
  <si>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</si>
  <si>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</si>
  <si>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</si>
  <si>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</si>
  <si>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</si>
  <si>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 Age</t>
  </si>
  <si>
    <t>Tag (Name)</t>
  </si>
  <si>
    <t>Is Retained</t>
  </si>
  <si>
    <t>INITIAL_CMO</t>
  </si>
  <si>
    <t>Target</t>
  </si>
  <si>
    <t>Physical State Rule</t>
  </si>
  <si>
    <t>Species Rule</t>
  </si>
  <si>
    <t>Action_Parameter_Set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</si>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</sst>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HelveticaNeue"/>
      <family val="2"/>
      <charset val="1"/>
    </font>
    <font>
      <sz val="12"/>
      <color theme="1"/>
      <name val="HelveticaNeue"/>
      <charset val="1"/>
    </font>
    <font>
      <b/>
      <sz val="12"/>
      <color theme="1"/>
      <name val="HelveticaNeue"/>
      <charset val="1"/>
    </font>
    <font>
      <sz val="10"/>
      <name val="Calibri"/>
      <family val="2"/>
    </font>
    <font>
      <sz val="11"/>
      <color rgb="FF000000"/>
      <name val="Helvetica Neue"/>
      <family val="2"/>
      <charset val="1"/>
    </font>
    <font>
      <sz val="10"/>
      <color rgb="FF000000"/>
      <name val="Calibri"/>
      <family val="2"/>
    </font>
    <font>
      <sz val="12"/>
      <color theme="1"/>
      <name val="HelveticaNeue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an, Michael" id="{03888065-5E5F-8645-9D26-02AAF3A007B0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0" personId="{03888065-5E5F-8645-9D26-02AAF3A007B0}" id="{EA02F274-9612-194F-9DF5-9E40A0659A32}">
    <text xml:space="preserve">The physical state into which the C mass is transformed. Must supply a distinct Physical State here (not Physical State Group)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zoomScale="111" zoomScaleNormal="100" workbookViewId="0">
      <selection activeCell="D30" sqref="D30"/>
    </sheetView>
  </sheetViews>
  <sheetFormatPr baseColWidth="10" defaultColWidth="7.5703125" defaultRowHeight="15.75" customHeight="1"/>
  <cols>
    <col min="1" max="1" width="13.140625" customWidth="1"/>
    <col min="2" max="2" width="23.42578125" customWidth="1"/>
    <col min="3" max="3" width="14.7109375" customWidth="1"/>
    <col min="4" max="4" width="16.42578125" bestFit="1" customWidth="1"/>
    <col min="5" max="5" width="23.5703125" customWidth="1"/>
    <col min="6" max="6" width="22.85546875" customWidth="1"/>
    <col min="7" max="7" width="26.7109375" customWidth="1"/>
    <col min="8" max="8" width="21.5703125" bestFit="1" customWidth="1"/>
    <col min="9" max="9" width="11.7109375" bestFit="1" customWidth="1"/>
    <col min="10" max="10" width="23.140625" bestFit="1" customWidth="1"/>
    <col min="11" max="11" width="18.140625" customWidth="1"/>
    <col min="12" max="12" width="31.42578125" customWidth="1"/>
  </cols>
  <sheetData>
    <row r="1" spans="1:12" s="6" customFormat="1" ht="15.75" customHeight="1">
      <c r="A1" s="1"/>
      <c r="B1" s="2" t="s">
        <v>0</v>
      </c>
      <c r="C1" s="2" t="s">
        <v>1</v>
      </c>
      <c r="D1" s="4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3" spans="1:12" ht="15.75" customHeight="1">
      <c r="B3" t="s">
        <v>11</v>
      </c>
      <c r="C3" t="s">
        <v>12</v>
      </c>
      <c r="E3" t="s">
        <v>13</v>
      </c>
    </row>
    <row r="4" spans="1:12" ht="15.75" customHeight="1">
      <c r="B4" t="s">
        <v>11</v>
      </c>
      <c r="C4" t="s">
        <v>14</v>
      </c>
      <c r="E4" t="s">
        <v>15</v>
      </c>
    </row>
    <row r="5" spans="1:12" ht="15.75" customHeight="1">
      <c r="B5" t="s">
        <v>11</v>
      </c>
      <c r="C5" t="s">
        <v>16</v>
      </c>
      <c r="E5" t="s">
        <v>17</v>
      </c>
    </row>
    <row r="7" spans="1:12" ht="15.75" customHeight="1">
      <c r="B7" t="s">
        <v>11</v>
      </c>
      <c r="C7" t="s">
        <v>18</v>
      </c>
    </row>
    <row r="9" spans="1:12" ht="15.75" customHeight="1">
      <c r="A9" s="3"/>
      <c r="B9" s="2" t="s">
        <v>19</v>
      </c>
      <c r="C9" s="2" t="s">
        <v>1</v>
      </c>
      <c r="D9" s="4" t="s">
        <v>20</v>
      </c>
      <c r="E9" s="4" t="s">
        <v>2</v>
      </c>
      <c r="F9" s="3" t="s">
        <v>21</v>
      </c>
      <c r="G9" s="3" t="s">
        <v>22</v>
      </c>
      <c r="H9" s="3" t="s">
        <v>23</v>
      </c>
      <c r="I9" s="3" t="s">
        <v>24</v>
      </c>
      <c r="J9" s="3" t="s">
        <v>25</v>
      </c>
      <c r="K9" s="3" t="s">
        <v>26</v>
      </c>
      <c r="L9" s="3" t="s">
        <v>10</v>
      </c>
    </row>
    <row r="11" spans="1:12" ht="15.75" customHeight="1">
      <c r="B11" t="s">
        <v>27</v>
      </c>
      <c r="C11" t="s">
        <v>28</v>
      </c>
    </row>
    <row r="13" spans="1:12" ht="15.75" customHeight="1">
      <c r="A13" s="3"/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3" t="s">
        <v>34</v>
      </c>
      <c r="H13" s="3"/>
      <c r="I13" s="3"/>
      <c r="J13" s="3"/>
      <c r="K13" s="3"/>
      <c r="L13" s="3"/>
    </row>
    <row r="15" spans="1:12" ht="15.75" customHeight="1">
      <c r="B15" t="s">
        <v>35</v>
      </c>
      <c r="C15" t="str">
        <f t="array" ref="C15">$C$11</f>
        <v>Landfilling</v>
      </c>
      <c r="D15" t="str">
        <f>C3</f>
        <v>Sawnwood</v>
      </c>
      <c r="E15" t="b">
        <f>TRUE()</f>
        <v>1</v>
      </c>
      <c r="F15">
        <v>1</v>
      </c>
    </row>
    <row r="16" spans="1:12" ht="15.75" customHeight="1">
      <c r="B16" t="s">
        <v>35</v>
      </c>
      <c r="C16" t="str">
        <f t="array" ref="C16">$C$11</f>
        <v>Landfilling</v>
      </c>
      <c r="D16" t="str">
        <f>C4</f>
        <v>Panels</v>
      </c>
      <c r="E16" t="b">
        <f>TRUE()</f>
        <v>1</v>
      </c>
      <c r="F16">
        <v>2</v>
      </c>
    </row>
    <row r="17" spans="1:12" ht="15.75" customHeight="1">
      <c r="B17" t="s">
        <v>35</v>
      </c>
      <c r="C17" t="str">
        <f t="array" ref="C17">$C$11</f>
        <v>Landfilling</v>
      </c>
      <c r="D17" t="str">
        <f>C5</f>
        <v>Paper</v>
      </c>
      <c r="E17" t="b">
        <f>TRUE()</f>
        <v>1</v>
      </c>
      <c r="F17">
        <v>3</v>
      </c>
    </row>
    <row r="18" spans="1:12" ht="15.75" customHeight="1">
      <c r="B18" t="s">
        <v>35</v>
      </c>
      <c r="C18" t="str">
        <f t="array" ref="C18">$C$11</f>
        <v>Landfilling</v>
      </c>
      <c r="D18" t="str">
        <f>C7</f>
        <v>CO2</v>
      </c>
      <c r="E18" t="b">
        <f>FALSE()</f>
        <v>0</v>
      </c>
      <c r="F18">
        <v>1</v>
      </c>
    </row>
    <row r="20" spans="1:12" ht="15.75" customHeight="1">
      <c r="A20" s="3"/>
      <c r="B20" s="2" t="s">
        <v>37</v>
      </c>
      <c r="C20" s="2" t="s">
        <v>55</v>
      </c>
      <c r="D20" s="2" t="s">
        <v>33</v>
      </c>
      <c r="E20" s="2" t="s">
        <v>38</v>
      </c>
      <c r="F20" s="5" t="s">
        <v>52</v>
      </c>
      <c r="G20" s="5" t="s">
        <v>39</v>
      </c>
      <c r="H20" s="5" t="s">
        <v>53</v>
      </c>
      <c r="I20" s="5" t="s">
        <v>54</v>
      </c>
      <c r="J20" s="3" t="s">
        <v>40</v>
      </c>
      <c r="K20" s="3"/>
      <c r="L20" s="3"/>
    </row>
    <row r="22" spans="1:12" ht="15.75" customHeight="1">
      <c r="B22" t="s">
        <v>41</v>
      </c>
      <c r="C22" t="str">
        <f>C18</f>
        <v>Landfilling</v>
      </c>
      <c r="D22">
        <v>1</v>
      </c>
      <c r="E22">
        <v>1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tabSelected="1" zoomScaleNormal="100" workbookViewId="0">
      <selection activeCell="F6" sqref="F6"/>
    </sheetView>
  </sheetViews>
  <sheetFormatPr baseColWidth="10" defaultColWidth="10.5703125" defaultRowHeight="16"/>
  <cols>
    <col min="2" max="2" width="19.28515625" customWidth="1"/>
    <col min="3" max="3" width="18.85546875" customWidth="1"/>
    <col min="4" max="4" width="12.7109375" customWidth="1"/>
    <col min="5" max="5" width="17.7109375" customWidth="1"/>
    <col min="6" max="6" width="21.5703125" customWidth="1"/>
    <col min="7" max="7" width="19.85546875" customWidth="1"/>
    <col min="8" max="10" width="10" customWidth="1"/>
    <col min="11" max="11" width="10.140625" customWidth="1"/>
  </cols>
  <sheetData>
    <row r="1" spans="1:11" s="3" customFormat="1">
      <c r="B1" s="2" t="s">
        <v>42</v>
      </c>
      <c r="C1" s="2" t="s">
        <v>43</v>
      </c>
      <c r="D1" s="3" t="s">
        <v>44</v>
      </c>
      <c r="E1" s="2" t="s">
        <v>45</v>
      </c>
      <c r="F1" s="2" t="s">
        <v>46</v>
      </c>
      <c r="G1" s="2" t="s">
        <v>47</v>
      </c>
      <c r="H1" s="3" t="s">
        <v>48</v>
      </c>
      <c r="I1" s="3" t="s">
        <v>49</v>
      </c>
      <c r="J1" s="3" t="s">
        <v>50</v>
      </c>
      <c r="K1" s="3" t="s">
        <v>36</v>
      </c>
    </row>
    <row r="3" spans="1:11">
      <c r="B3" t="s">
        <v>51</v>
      </c>
      <c r="C3" t="str">
        <f>'Inputs - Flow Network'!$C$3</f>
        <v>Sawnwood</v>
      </c>
      <c r="F3">
        <v>30</v>
      </c>
      <c r="G3">
        <v>1</v>
      </c>
      <c r="J3" t="b">
        <v>1</v>
      </c>
    </row>
    <row r="4" spans="1:11">
      <c r="B4" t="s">
        <v>51</v>
      </c>
      <c r="C4" t="str">
        <f>'Inputs - Flow Network'!$C$4</f>
        <v>Panels</v>
      </c>
      <c r="F4">
        <v>10</v>
      </c>
      <c r="G4">
        <v>1</v>
      </c>
      <c r="J4" t="b">
        <v>1</v>
      </c>
    </row>
    <row r="5" spans="1:11">
      <c r="B5" t="s">
        <v>51</v>
      </c>
      <c r="C5" t="str">
        <f>'Inputs - Flow Network'!$C$5</f>
        <v>Paper</v>
      </c>
      <c r="F5">
        <v>40</v>
      </c>
      <c r="G5">
        <v>1</v>
      </c>
      <c r="J5" t="b">
        <v>1</v>
      </c>
    </row>
    <row r="7" spans="1:11" hidden="1">
      <c r="A7" t="s">
        <v>56</v>
      </c>
      <c r="B7" t="s">
        <v>51</v>
      </c>
      <c r="C7" t="str">
        <f>'Inputs - Flow Network'!$C$3</f>
        <v>Sawnwood</v>
      </c>
      <c r="F7">
        <v>503342</v>
      </c>
      <c r="G7">
        <v>1</v>
      </c>
      <c r="J7" t="b">
        <f>TRUE()</f>
        <v>1</v>
      </c>
      <c r="K7">
        <v>1990</v>
      </c>
    </row>
    <row r="8" spans="1:11" hidden="1">
      <c r="A8" t="s">
        <v>56</v>
      </c>
      <c r="B8" t="s">
        <v>51</v>
      </c>
      <c r="C8" t="str">
        <f>'Inputs - Flow Network'!$C$3</f>
        <v>Sawnwood</v>
      </c>
      <c r="F8">
        <v>518227</v>
      </c>
      <c r="G8">
        <v>2</v>
      </c>
      <c r="J8" t="b">
        <f>TRUE()</f>
        <v>1</v>
      </c>
      <c r="K8">
        <v>1991</v>
      </c>
    </row>
    <row r="9" spans="1:11" hidden="1">
      <c r="A9" t="s">
        <v>56</v>
      </c>
      <c r="B9" t="s">
        <v>51</v>
      </c>
      <c r="C9" t="str">
        <f>'Inputs - Flow Network'!$C$3</f>
        <v>Sawnwood</v>
      </c>
      <c r="F9">
        <v>582576</v>
      </c>
      <c r="G9">
        <v>3</v>
      </c>
      <c r="J9" t="b">
        <f>TRUE()</f>
        <v>1</v>
      </c>
      <c r="K9">
        <v>1992</v>
      </c>
    </row>
    <row r="10" spans="1:11" hidden="1">
      <c r="A10" t="s">
        <v>56</v>
      </c>
      <c r="B10" t="s">
        <v>51</v>
      </c>
      <c r="C10" t="str">
        <f>'Inputs - Flow Network'!$C$3</f>
        <v>Sawnwood</v>
      </c>
      <c r="F10">
        <v>642345</v>
      </c>
      <c r="G10">
        <v>4</v>
      </c>
      <c r="J10" t="b">
        <f>TRUE()</f>
        <v>1</v>
      </c>
      <c r="K10">
        <v>1993</v>
      </c>
    </row>
    <row r="11" spans="1:11" hidden="1">
      <c r="A11" t="s">
        <v>56</v>
      </c>
      <c r="B11" t="s">
        <v>51</v>
      </c>
      <c r="C11" t="str">
        <f>'Inputs - Flow Network'!$C$3</f>
        <v>Sawnwood</v>
      </c>
      <c r="F11">
        <v>655169</v>
      </c>
      <c r="G11">
        <v>5</v>
      </c>
      <c r="J11" t="b">
        <f>TRUE()</f>
        <v>1</v>
      </c>
      <c r="K11">
        <v>1994</v>
      </c>
    </row>
    <row r="12" spans="1:11" hidden="1">
      <c r="A12" t="s">
        <v>56</v>
      </c>
      <c r="B12" t="s">
        <v>51</v>
      </c>
      <c r="C12" t="str">
        <f>'Inputs - Flow Network'!$C$3</f>
        <v>Sawnwood</v>
      </c>
      <c r="F12">
        <v>675550</v>
      </c>
      <c r="G12">
        <v>6</v>
      </c>
      <c r="J12" t="b">
        <f>TRUE()</f>
        <v>1</v>
      </c>
      <c r="K12">
        <v>1995</v>
      </c>
    </row>
    <row r="13" spans="1:11" hidden="1">
      <c r="A13" t="s">
        <v>56</v>
      </c>
      <c r="B13" t="s">
        <v>51</v>
      </c>
      <c r="C13" t="str">
        <f>'Inputs - Flow Network'!$C$3</f>
        <v>Sawnwood</v>
      </c>
      <c r="F13">
        <v>694328</v>
      </c>
      <c r="G13">
        <v>7</v>
      </c>
      <c r="J13" t="b">
        <f>TRUE()</f>
        <v>1</v>
      </c>
      <c r="K13">
        <v>1996</v>
      </c>
    </row>
    <row r="14" spans="1:11" hidden="1">
      <c r="A14" t="s">
        <v>56</v>
      </c>
      <c r="B14" t="s">
        <v>51</v>
      </c>
      <c r="C14" t="str">
        <f>'Inputs - Flow Network'!$C$3</f>
        <v>Sawnwood</v>
      </c>
      <c r="F14">
        <v>718144</v>
      </c>
      <c r="G14">
        <v>8</v>
      </c>
      <c r="J14" t="b">
        <f>TRUE()</f>
        <v>1</v>
      </c>
      <c r="K14">
        <v>1997</v>
      </c>
    </row>
    <row r="15" spans="1:11" hidden="1">
      <c r="A15" t="s">
        <v>56</v>
      </c>
      <c r="B15" t="s">
        <v>51</v>
      </c>
      <c r="C15" t="str">
        <f>'Inputs - Flow Network'!$C$3</f>
        <v>Sawnwood</v>
      </c>
      <c r="F15">
        <v>727762</v>
      </c>
      <c r="G15">
        <v>9</v>
      </c>
      <c r="J15" t="b">
        <f>TRUE()</f>
        <v>1</v>
      </c>
      <c r="K15">
        <v>1998</v>
      </c>
    </row>
    <row r="16" spans="1:11" hidden="1">
      <c r="A16" t="s">
        <v>56</v>
      </c>
      <c r="B16" t="s">
        <v>51</v>
      </c>
      <c r="C16" t="str">
        <f>'Inputs - Flow Network'!$C$3</f>
        <v>Sawnwood</v>
      </c>
      <c r="F16">
        <v>836537</v>
      </c>
      <c r="G16">
        <v>10</v>
      </c>
      <c r="J16" t="b">
        <f>TRUE()</f>
        <v>1</v>
      </c>
      <c r="K16">
        <v>1999</v>
      </c>
    </row>
    <row r="17" spans="1:11" hidden="1">
      <c r="A17" t="s">
        <v>56</v>
      </c>
      <c r="B17" t="s">
        <v>51</v>
      </c>
      <c r="C17" t="str">
        <f>'Inputs - Flow Network'!$C$3</f>
        <v>Sawnwood</v>
      </c>
      <c r="F17">
        <v>895390</v>
      </c>
      <c r="G17">
        <v>11</v>
      </c>
      <c r="J17" t="b">
        <f>TRUE()</f>
        <v>1</v>
      </c>
      <c r="K17">
        <v>2000</v>
      </c>
    </row>
    <row r="18" spans="1:11" hidden="1">
      <c r="A18" t="s">
        <v>56</v>
      </c>
      <c r="B18" t="s">
        <v>51</v>
      </c>
      <c r="C18" t="str">
        <f>'Inputs - Flow Network'!$C$3</f>
        <v>Sawnwood</v>
      </c>
      <c r="F18">
        <v>875009</v>
      </c>
      <c r="G18">
        <v>12</v>
      </c>
      <c r="J18" t="b">
        <f>TRUE()</f>
        <v>1</v>
      </c>
      <c r="K18">
        <v>2001</v>
      </c>
    </row>
    <row r="19" spans="1:11" hidden="1">
      <c r="A19" t="s">
        <v>56</v>
      </c>
      <c r="B19" t="s">
        <v>51</v>
      </c>
      <c r="C19" t="str">
        <f>'Inputs - Flow Network'!$C$3</f>
        <v>Sawnwood</v>
      </c>
      <c r="F19">
        <v>984929</v>
      </c>
      <c r="G19">
        <v>13</v>
      </c>
      <c r="J19" t="b">
        <f>TRUE()</f>
        <v>1</v>
      </c>
      <c r="K19">
        <v>2002</v>
      </c>
    </row>
    <row r="20" spans="1:11" hidden="1">
      <c r="A20" t="s">
        <v>56</v>
      </c>
      <c r="B20" t="s">
        <v>51</v>
      </c>
      <c r="C20" t="str">
        <f>'Inputs - Flow Network'!$C$3</f>
        <v>Sawnwood</v>
      </c>
      <c r="F20">
        <v>982181</v>
      </c>
      <c r="G20">
        <v>14</v>
      </c>
      <c r="J20" t="b">
        <f>TRUE()</f>
        <v>1</v>
      </c>
      <c r="K20">
        <v>2003</v>
      </c>
    </row>
    <row r="21" spans="1:11" hidden="1">
      <c r="A21" t="s">
        <v>56</v>
      </c>
      <c r="B21" t="s">
        <v>51</v>
      </c>
      <c r="C21" t="str">
        <f>'Inputs - Flow Network'!$C$3</f>
        <v>Sawnwood</v>
      </c>
      <c r="F21">
        <v>1013096</v>
      </c>
      <c r="G21">
        <v>15</v>
      </c>
      <c r="J21" t="b">
        <f>TRUE()</f>
        <v>1</v>
      </c>
      <c r="K21">
        <v>2004</v>
      </c>
    </row>
    <row r="22" spans="1:11" hidden="1">
      <c r="A22" t="s">
        <v>56</v>
      </c>
      <c r="B22" t="s">
        <v>51</v>
      </c>
      <c r="C22" t="str">
        <f>'Inputs - Flow Network'!$C$3</f>
        <v>Sawnwood</v>
      </c>
      <c r="F22">
        <v>978059</v>
      </c>
      <c r="G22">
        <v>16</v>
      </c>
      <c r="J22" t="b">
        <f>TRUE()</f>
        <v>1</v>
      </c>
      <c r="K22">
        <v>2005</v>
      </c>
    </row>
    <row r="23" spans="1:11" hidden="1">
      <c r="A23" t="s">
        <v>56</v>
      </c>
      <c r="B23" t="s">
        <v>51</v>
      </c>
      <c r="C23" t="str">
        <f>'Inputs - Flow Network'!$C$3</f>
        <v>Sawnwood</v>
      </c>
      <c r="F23">
        <v>982868</v>
      </c>
      <c r="G23">
        <v>17</v>
      </c>
      <c r="J23" t="b">
        <f>TRUE()</f>
        <v>1</v>
      </c>
      <c r="K23">
        <v>2006</v>
      </c>
    </row>
    <row r="24" spans="1:11" hidden="1">
      <c r="A24" t="s">
        <v>56</v>
      </c>
      <c r="B24" t="s">
        <v>51</v>
      </c>
      <c r="C24" t="str">
        <f>'Inputs - Flow Network'!$C$3</f>
        <v>Sawnwood</v>
      </c>
      <c r="F24">
        <v>1020653</v>
      </c>
      <c r="G24">
        <v>18</v>
      </c>
      <c r="J24" t="b">
        <f>TRUE()</f>
        <v>1</v>
      </c>
      <c r="K24">
        <v>2007</v>
      </c>
    </row>
    <row r="25" spans="1:11" hidden="1">
      <c r="A25" t="s">
        <v>56</v>
      </c>
      <c r="B25" t="s">
        <v>51</v>
      </c>
      <c r="C25" t="str">
        <f>'Inputs - Flow Network'!$C$3</f>
        <v>Sawnwood</v>
      </c>
      <c r="F25">
        <v>867223</v>
      </c>
      <c r="G25">
        <v>19</v>
      </c>
      <c r="J25" t="b">
        <f>TRUE()</f>
        <v>1</v>
      </c>
      <c r="K25">
        <v>2008</v>
      </c>
    </row>
    <row r="26" spans="1:11" hidden="1">
      <c r="A26" t="s">
        <v>56</v>
      </c>
      <c r="B26" t="s">
        <v>51</v>
      </c>
      <c r="C26" t="str">
        <f>'Inputs - Flow Network'!$C$3</f>
        <v>Sawnwood</v>
      </c>
      <c r="F26">
        <v>823713</v>
      </c>
      <c r="G26">
        <v>20</v>
      </c>
      <c r="J26" t="b">
        <f>TRUE()</f>
        <v>1</v>
      </c>
      <c r="K26">
        <v>2009</v>
      </c>
    </row>
    <row r="27" spans="1:11" hidden="1">
      <c r="A27" t="s">
        <v>56</v>
      </c>
      <c r="B27" t="s">
        <v>51</v>
      </c>
      <c r="C27" t="str">
        <f>'Inputs - Flow Network'!$C$3</f>
        <v>Sawnwood</v>
      </c>
      <c r="F27">
        <v>934070.61899999995</v>
      </c>
      <c r="G27">
        <v>21</v>
      </c>
      <c r="J27" t="b">
        <f>TRUE()</f>
        <v>1</v>
      </c>
      <c r="K27">
        <v>2010</v>
      </c>
    </row>
    <row r="28" spans="1:11" hidden="1">
      <c r="A28" t="s">
        <v>56</v>
      </c>
      <c r="B28" t="s">
        <v>51</v>
      </c>
      <c r="C28" t="str">
        <f>'Inputs - Flow Network'!$C$3</f>
        <v>Sawnwood</v>
      </c>
      <c r="F28">
        <v>877519.527</v>
      </c>
      <c r="G28">
        <v>22</v>
      </c>
      <c r="J28" t="b">
        <f>TRUE()</f>
        <v>1</v>
      </c>
      <c r="K28">
        <v>2011</v>
      </c>
    </row>
    <row r="29" spans="1:11" hidden="1">
      <c r="A29" t="s">
        <v>56</v>
      </c>
      <c r="B29" t="s">
        <v>51</v>
      </c>
      <c r="C29" t="str">
        <f>'Inputs - Flow Network'!$C$3</f>
        <v>Sawnwood</v>
      </c>
      <c r="F29">
        <v>929419.17099999997</v>
      </c>
      <c r="G29">
        <v>23</v>
      </c>
      <c r="J29" t="b">
        <f>TRUE()</f>
        <v>1</v>
      </c>
      <c r="K29">
        <v>2012</v>
      </c>
    </row>
    <row r="30" spans="1:11" hidden="1">
      <c r="A30" t="s">
        <v>56</v>
      </c>
      <c r="B30" t="s">
        <v>51</v>
      </c>
      <c r="C30" t="str">
        <f>'Inputs - Flow Network'!$C$3</f>
        <v>Sawnwood</v>
      </c>
      <c r="F30">
        <v>905237</v>
      </c>
      <c r="G30">
        <v>24</v>
      </c>
      <c r="J30" t="b">
        <f>TRUE()</f>
        <v>1</v>
      </c>
      <c r="K30">
        <v>2013</v>
      </c>
    </row>
    <row r="31" spans="1:11" hidden="1">
      <c r="A31" t="s">
        <v>56</v>
      </c>
      <c r="B31" t="s">
        <v>51</v>
      </c>
      <c r="C31" t="str">
        <f>'Inputs - Flow Network'!$C$3</f>
        <v>Sawnwood</v>
      </c>
      <c r="F31">
        <v>827309.44499999995</v>
      </c>
      <c r="G31">
        <v>25</v>
      </c>
      <c r="J31" t="b">
        <f>TRUE()</f>
        <v>1</v>
      </c>
      <c r="K31">
        <v>2014</v>
      </c>
    </row>
    <row r="32" spans="1:11" hidden="1">
      <c r="A32" t="s">
        <v>56</v>
      </c>
      <c r="B32" t="s">
        <v>51</v>
      </c>
      <c r="C32" t="str">
        <f>'Inputs - Flow Network'!$C$3</f>
        <v>Sawnwood</v>
      </c>
      <c r="F32">
        <v>927231.76300000004</v>
      </c>
      <c r="G32">
        <v>26</v>
      </c>
      <c r="J32" t="b">
        <f>TRUE()</f>
        <v>1</v>
      </c>
      <c r="K32">
        <v>2015</v>
      </c>
    </row>
    <row r="33" spans="1:11" hidden="1">
      <c r="A33" t="s">
        <v>56</v>
      </c>
      <c r="B33" t="s">
        <v>51</v>
      </c>
      <c r="C33" t="str">
        <f>'Inputs - Flow Network'!$C$3</f>
        <v>Sawnwood</v>
      </c>
      <c r="F33">
        <v>945400.39399999997</v>
      </c>
      <c r="G33">
        <v>27</v>
      </c>
      <c r="J33" t="b">
        <f>TRUE()</f>
        <v>1</v>
      </c>
      <c r="K33">
        <v>2016</v>
      </c>
    </row>
    <row r="34" spans="1:11" hidden="1">
      <c r="A34" t="s">
        <v>56</v>
      </c>
      <c r="B34" t="s">
        <v>51</v>
      </c>
      <c r="C34" t="str">
        <f>'Inputs - Flow Network'!$C$3</f>
        <v>Sawnwood</v>
      </c>
      <c r="F34">
        <v>1066597.7279999999</v>
      </c>
      <c r="G34">
        <v>28</v>
      </c>
      <c r="J34" t="b">
        <f>TRUE()</f>
        <v>1</v>
      </c>
      <c r="K34">
        <v>2017</v>
      </c>
    </row>
    <row r="35" spans="1:11" hidden="1">
      <c r="A35" t="s">
        <v>56</v>
      </c>
      <c r="B35" t="s">
        <v>51</v>
      </c>
      <c r="C35" t="str">
        <f>'Inputs - Flow Network'!$C$3</f>
        <v>Sawnwood</v>
      </c>
      <c r="F35">
        <v>1012859.214</v>
      </c>
      <c r="G35">
        <v>29</v>
      </c>
      <c r="J35" t="b">
        <f>TRUE()</f>
        <v>1</v>
      </c>
      <c r="K35">
        <v>2018</v>
      </c>
    </row>
    <row r="36" spans="1:11" hidden="1">
      <c r="A36" t="s">
        <v>56</v>
      </c>
      <c r="B36" t="s">
        <v>51</v>
      </c>
      <c r="C36" t="str">
        <f>'Inputs - Flow Network'!$C$3</f>
        <v>Sawnwood</v>
      </c>
      <c r="F36">
        <v>1037599</v>
      </c>
      <c r="G36">
        <v>30</v>
      </c>
      <c r="J36" t="b">
        <f>TRUE()</f>
        <v>1</v>
      </c>
      <c r="K36">
        <v>2019</v>
      </c>
    </row>
    <row r="37" spans="1:11" hidden="1">
      <c r="A37" t="s">
        <v>56</v>
      </c>
      <c r="B37" t="s">
        <v>51</v>
      </c>
      <c r="C37" t="str">
        <f>'Inputs - Flow Network'!$C$3</f>
        <v>Sawnwood</v>
      </c>
      <c r="F37">
        <v>934851.50899999996</v>
      </c>
      <c r="G37">
        <v>31</v>
      </c>
      <c r="J37" t="b">
        <f>TRUE()</f>
        <v>1</v>
      </c>
      <c r="K37">
        <v>2020</v>
      </c>
    </row>
    <row r="38" spans="1:11" hidden="1">
      <c r="A38" t="s">
        <v>56</v>
      </c>
      <c r="B38" t="s">
        <v>51</v>
      </c>
      <c r="C38" t="str">
        <f>'Inputs - Flow Network'!$C$3</f>
        <v>Sawnwood</v>
      </c>
      <c r="F38">
        <v>1034695.509</v>
      </c>
      <c r="G38">
        <v>32</v>
      </c>
      <c r="J38" t="b">
        <f>TRUE()</f>
        <v>1</v>
      </c>
      <c r="K38">
        <v>2021</v>
      </c>
    </row>
    <row r="39" spans="1:11" hidden="1">
      <c r="A39" t="s">
        <v>56</v>
      </c>
      <c r="B39" t="s">
        <v>51</v>
      </c>
      <c r="C39" t="str">
        <f>'Inputs - Flow Network'!$C$3</f>
        <v>Sawnwood</v>
      </c>
      <c r="F39">
        <v>1053244.5090000001</v>
      </c>
      <c r="G39">
        <v>33</v>
      </c>
      <c r="J39" t="b">
        <f>TRUE()</f>
        <v>1</v>
      </c>
      <c r="K39">
        <v>2022</v>
      </c>
    </row>
    <row r="40" spans="1:11" hidden="1">
      <c r="A40" t="s">
        <v>56</v>
      </c>
      <c r="B40" t="s">
        <v>51</v>
      </c>
      <c r="C40" t="str">
        <f>'Inputs - Flow Network'!$C$3</f>
        <v>Sawnwood</v>
      </c>
      <c r="F40">
        <v>852842.02899999998</v>
      </c>
      <c r="G40">
        <v>34</v>
      </c>
      <c r="J40" t="b">
        <f>TRUE()</f>
        <v>1</v>
      </c>
      <c r="K40">
        <v>2023</v>
      </c>
    </row>
    <row r="41" spans="1:11" hidden="1">
      <c r="A41" t="s">
        <v>56</v>
      </c>
      <c r="B41" t="s">
        <v>51</v>
      </c>
      <c r="C41" t="str">
        <f>'Inputs - Flow Network'!$C$3</f>
        <v>Sawnwood</v>
      </c>
      <c r="F41">
        <v>950423.50899999996</v>
      </c>
      <c r="G41">
        <v>35</v>
      </c>
      <c r="J41" t="b">
        <f>TRUE()</f>
        <v>1</v>
      </c>
      <c r="K41">
        <v>2024</v>
      </c>
    </row>
    <row r="42" spans="1:11" hidden="1"/>
    <row r="43" spans="1:11" hidden="1">
      <c r="A43" t="s">
        <v>56</v>
      </c>
      <c r="B43" t="s">
        <v>51</v>
      </c>
      <c r="C43" t="str">
        <f>'Inputs - Flow Network'!$C$4</f>
        <v>Panels</v>
      </c>
      <c r="F43">
        <v>183727</v>
      </c>
      <c r="G43">
        <v>1</v>
      </c>
      <c r="J43" t="b">
        <f>TRUE()</f>
        <v>1</v>
      </c>
      <c r="K43">
        <v>1990</v>
      </c>
    </row>
    <row r="44" spans="1:11" hidden="1">
      <c r="A44" t="s">
        <v>56</v>
      </c>
      <c r="B44" t="s">
        <v>51</v>
      </c>
      <c r="C44" t="str">
        <f>'Inputs - Flow Network'!$C$4</f>
        <v>Panels</v>
      </c>
      <c r="F44">
        <v>194487</v>
      </c>
      <c r="G44">
        <v>2</v>
      </c>
      <c r="J44" t="b">
        <f>TRUE()</f>
        <v>1</v>
      </c>
      <c r="K44">
        <v>1991</v>
      </c>
    </row>
    <row r="45" spans="1:11" hidden="1">
      <c r="A45" t="s">
        <v>56</v>
      </c>
      <c r="B45" t="s">
        <v>51</v>
      </c>
      <c r="C45" t="str">
        <f>'Inputs - Flow Network'!$C$4</f>
        <v>Panels</v>
      </c>
      <c r="F45">
        <v>206592</v>
      </c>
      <c r="G45">
        <v>3</v>
      </c>
      <c r="J45" t="b">
        <f>TRUE()</f>
        <v>1</v>
      </c>
      <c r="K45">
        <v>1992</v>
      </c>
    </row>
    <row r="46" spans="1:11" hidden="1">
      <c r="A46" t="s">
        <v>56</v>
      </c>
      <c r="B46" t="s">
        <v>51</v>
      </c>
      <c r="C46" t="str">
        <f>'Inputs - Flow Network'!$C$4</f>
        <v>Panels</v>
      </c>
      <c r="F46">
        <v>221656</v>
      </c>
      <c r="G46">
        <v>4</v>
      </c>
      <c r="J46" t="b">
        <f>TRUE()</f>
        <v>1</v>
      </c>
      <c r="K46">
        <v>1993</v>
      </c>
    </row>
    <row r="47" spans="1:11" hidden="1">
      <c r="A47" t="s">
        <v>56</v>
      </c>
      <c r="B47" t="s">
        <v>51</v>
      </c>
      <c r="C47" t="str">
        <f>'Inputs - Flow Network'!$C$4</f>
        <v>Panels</v>
      </c>
      <c r="F47">
        <v>259047</v>
      </c>
      <c r="G47">
        <v>5</v>
      </c>
      <c r="J47" t="b">
        <f>TRUE()</f>
        <v>1</v>
      </c>
      <c r="K47">
        <v>1994</v>
      </c>
    </row>
    <row r="48" spans="1:11" hidden="1">
      <c r="A48" t="s">
        <v>56</v>
      </c>
      <c r="B48" t="s">
        <v>51</v>
      </c>
      <c r="C48" t="str">
        <f>'Inputs - Flow Network'!$C$4</f>
        <v>Panels</v>
      </c>
      <c r="F48">
        <v>266848</v>
      </c>
      <c r="G48">
        <v>6</v>
      </c>
      <c r="J48" t="b">
        <f>TRUE()</f>
        <v>1</v>
      </c>
      <c r="K48">
        <v>1995</v>
      </c>
    </row>
    <row r="49" spans="1:11" hidden="1">
      <c r="A49" t="s">
        <v>56</v>
      </c>
      <c r="B49" t="s">
        <v>51</v>
      </c>
      <c r="C49" t="str">
        <f>'Inputs - Flow Network'!$C$4</f>
        <v>Panels</v>
      </c>
      <c r="F49">
        <v>250708</v>
      </c>
      <c r="G49">
        <v>7</v>
      </c>
      <c r="J49" t="b">
        <f>TRUE()</f>
        <v>1</v>
      </c>
      <c r="K49">
        <v>1996</v>
      </c>
    </row>
    <row r="50" spans="1:11" hidden="1">
      <c r="A50" t="s">
        <v>56</v>
      </c>
      <c r="B50" t="s">
        <v>51</v>
      </c>
      <c r="C50" t="str">
        <f>'Inputs - Flow Network'!$C$4</f>
        <v>Panels</v>
      </c>
      <c r="F50">
        <v>274649</v>
      </c>
      <c r="G50">
        <v>8</v>
      </c>
      <c r="J50" t="b">
        <f>TRUE()</f>
        <v>1</v>
      </c>
      <c r="K50">
        <v>1997</v>
      </c>
    </row>
    <row r="51" spans="1:11" hidden="1">
      <c r="A51" t="s">
        <v>56</v>
      </c>
      <c r="B51" t="s">
        <v>51</v>
      </c>
      <c r="C51" t="str">
        <f>'Inputs - Flow Network'!$C$4</f>
        <v>Panels</v>
      </c>
      <c r="F51">
        <v>248287</v>
      </c>
      <c r="G51">
        <v>9</v>
      </c>
      <c r="J51" t="b">
        <f>TRUE()</f>
        <v>1</v>
      </c>
      <c r="K51">
        <v>1998</v>
      </c>
    </row>
    <row r="52" spans="1:11" hidden="1">
      <c r="A52" t="s">
        <v>56</v>
      </c>
      <c r="B52" t="s">
        <v>51</v>
      </c>
      <c r="C52" t="str">
        <f>'Inputs - Flow Network'!$C$4</f>
        <v>Panels</v>
      </c>
      <c r="F52">
        <v>300473</v>
      </c>
      <c r="G52">
        <v>10</v>
      </c>
      <c r="J52" t="b">
        <f>TRUE()</f>
        <v>1</v>
      </c>
      <c r="K52">
        <v>1999</v>
      </c>
    </row>
    <row r="53" spans="1:11" hidden="1">
      <c r="A53" t="s">
        <v>56</v>
      </c>
      <c r="B53" t="s">
        <v>51</v>
      </c>
      <c r="C53" t="str">
        <f>'Inputs - Flow Network'!$C$4</f>
        <v>Panels</v>
      </c>
      <c r="F53">
        <v>337595</v>
      </c>
      <c r="G53">
        <v>11</v>
      </c>
      <c r="J53" t="b">
        <f>TRUE()</f>
        <v>1</v>
      </c>
      <c r="K53">
        <v>2000</v>
      </c>
    </row>
    <row r="54" spans="1:11" hidden="1">
      <c r="A54" t="s">
        <v>56</v>
      </c>
      <c r="B54" t="s">
        <v>51</v>
      </c>
      <c r="C54" t="str">
        <f>'Inputs - Flow Network'!$C$4</f>
        <v>Panels</v>
      </c>
      <c r="F54">
        <v>341361</v>
      </c>
      <c r="G54">
        <v>12</v>
      </c>
      <c r="J54" t="b">
        <f>TRUE()</f>
        <v>1</v>
      </c>
      <c r="K54">
        <v>2001</v>
      </c>
    </row>
    <row r="55" spans="1:11" hidden="1">
      <c r="A55" t="s">
        <v>56</v>
      </c>
      <c r="B55" t="s">
        <v>51</v>
      </c>
      <c r="C55" t="str">
        <f>'Inputs - Flow Network'!$C$4</f>
        <v>Panels</v>
      </c>
      <c r="F55">
        <v>372849.06400000001</v>
      </c>
      <c r="G55">
        <v>13</v>
      </c>
      <c r="J55" t="b">
        <f>TRUE()</f>
        <v>1</v>
      </c>
      <c r="K55">
        <v>2002</v>
      </c>
    </row>
    <row r="56" spans="1:11" hidden="1">
      <c r="A56" t="s">
        <v>56</v>
      </c>
      <c r="B56" t="s">
        <v>51</v>
      </c>
      <c r="C56" t="str">
        <f>'Inputs - Flow Network'!$C$4</f>
        <v>Panels</v>
      </c>
      <c r="F56">
        <v>385938.06599999999</v>
      </c>
      <c r="G56">
        <v>14</v>
      </c>
      <c r="J56" t="b">
        <f>TRUE()</f>
        <v>1</v>
      </c>
      <c r="K56">
        <v>2003</v>
      </c>
    </row>
    <row r="57" spans="1:11" hidden="1">
      <c r="A57" t="s">
        <v>56</v>
      </c>
      <c r="B57" t="s">
        <v>51</v>
      </c>
      <c r="C57" t="str">
        <f>'Inputs - Flow Network'!$C$4</f>
        <v>Panels</v>
      </c>
      <c r="F57">
        <v>408327.47399999999</v>
      </c>
      <c r="G57">
        <v>15</v>
      </c>
      <c r="J57" t="b">
        <f>TRUE()</f>
        <v>1</v>
      </c>
      <c r="K57">
        <v>2004</v>
      </c>
    </row>
    <row r="58" spans="1:11" hidden="1">
      <c r="A58" t="s">
        <v>56</v>
      </c>
      <c r="B58" t="s">
        <v>51</v>
      </c>
      <c r="C58" t="str">
        <f>'Inputs - Flow Network'!$C$4</f>
        <v>Panels</v>
      </c>
      <c r="F58">
        <v>404512.516</v>
      </c>
      <c r="G58">
        <v>16</v>
      </c>
      <c r="J58" t="b">
        <f>TRUE()</f>
        <v>1</v>
      </c>
      <c r="K58">
        <v>2005</v>
      </c>
    </row>
    <row r="59" spans="1:11" hidden="1">
      <c r="A59" t="s">
        <v>56</v>
      </c>
      <c r="B59" t="s">
        <v>51</v>
      </c>
      <c r="C59" t="str">
        <f>'Inputs - Flow Network'!$C$4</f>
        <v>Panels</v>
      </c>
      <c r="F59">
        <v>420955.141</v>
      </c>
      <c r="G59">
        <v>17</v>
      </c>
      <c r="J59" t="b">
        <f>TRUE()</f>
        <v>1</v>
      </c>
      <c r="K59">
        <v>2006</v>
      </c>
    </row>
    <row r="60" spans="1:11" hidden="1">
      <c r="A60" t="s">
        <v>56</v>
      </c>
      <c r="B60" t="s">
        <v>51</v>
      </c>
      <c r="C60" t="str">
        <f>'Inputs - Flow Network'!$C$4</f>
        <v>Panels</v>
      </c>
      <c r="F60">
        <v>409111.071</v>
      </c>
      <c r="G60">
        <v>18</v>
      </c>
      <c r="J60" t="b">
        <f>TRUE()</f>
        <v>1</v>
      </c>
      <c r="K60">
        <v>2007</v>
      </c>
    </row>
    <row r="61" spans="1:11" hidden="1">
      <c r="A61" t="s">
        <v>56</v>
      </c>
      <c r="B61" t="s">
        <v>51</v>
      </c>
      <c r="C61" t="str">
        <f>'Inputs - Flow Network'!$C$4</f>
        <v>Panels</v>
      </c>
      <c r="F61">
        <v>371228.07</v>
      </c>
      <c r="G61">
        <v>19</v>
      </c>
      <c r="J61" t="b">
        <f>TRUE()</f>
        <v>1</v>
      </c>
      <c r="K61">
        <v>2008</v>
      </c>
    </row>
    <row r="62" spans="1:11" hidden="1">
      <c r="A62" t="s">
        <v>56</v>
      </c>
      <c r="B62" t="s">
        <v>51</v>
      </c>
      <c r="C62" t="str">
        <f>'Inputs - Flow Network'!$C$4</f>
        <v>Panels</v>
      </c>
      <c r="F62">
        <v>285087.00699999998</v>
      </c>
      <c r="G62">
        <v>20</v>
      </c>
      <c r="J62" t="b">
        <f>TRUE()</f>
        <v>1</v>
      </c>
      <c r="K62">
        <v>2009</v>
      </c>
    </row>
    <row r="63" spans="1:11" hidden="1">
      <c r="A63" t="s">
        <v>56</v>
      </c>
      <c r="B63" t="s">
        <v>51</v>
      </c>
      <c r="C63" t="str">
        <f>'Inputs - Flow Network'!$C$4</f>
        <v>Panels</v>
      </c>
      <c r="F63">
        <v>314130.93699999998</v>
      </c>
      <c r="G63">
        <v>21</v>
      </c>
      <c r="J63" t="b">
        <f>TRUE()</f>
        <v>1</v>
      </c>
      <c r="K63">
        <v>2010</v>
      </c>
    </row>
    <row r="64" spans="1:11" hidden="1">
      <c r="A64" t="s">
        <v>56</v>
      </c>
      <c r="B64" t="s">
        <v>51</v>
      </c>
      <c r="C64" t="str">
        <f>'Inputs - Flow Network'!$C$4</f>
        <v>Panels</v>
      </c>
      <c r="F64">
        <v>328881.01400000002</v>
      </c>
      <c r="G64">
        <v>22</v>
      </c>
      <c r="J64" t="b">
        <f>TRUE()</f>
        <v>1</v>
      </c>
      <c r="K64">
        <v>2011</v>
      </c>
    </row>
    <row r="65" spans="1:11" hidden="1">
      <c r="A65" t="s">
        <v>56</v>
      </c>
      <c r="B65" t="s">
        <v>51</v>
      </c>
      <c r="C65" t="str">
        <f>'Inputs - Flow Network'!$C$4</f>
        <v>Panels</v>
      </c>
      <c r="F65">
        <v>333511.84899999999</v>
      </c>
      <c r="G65">
        <v>23</v>
      </c>
      <c r="J65" t="b">
        <f>TRUE()</f>
        <v>1</v>
      </c>
      <c r="K65">
        <v>2012</v>
      </c>
    </row>
    <row r="66" spans="1:11" hidden="1">
      <c r="A66" t="s">
        <v>56</v>
      </c>
      <c r="B66" t="s">
        <v>51</v>
      </c>
      <c r="C66" t="str">
        <f>'Inputs - Flow Network'!$C$4</f>
        <v>Panels</v>
      </c>
      <c r="F66">
        <v>318778.98800000001</v>
      </c>
      <c r="G66">
        <v>24</v>
      </c>
      <c r="J66" t="b">
        <f>TRUE()</f>
        <v>1</v>
      </c>
      <c r="K66">
        <v>2013</v>
      </c>
    </row>
    <row r="67" spans="1:11" hidden="1">
      <c r="A67" t="s">
        <v>56</v>
      </c>
      <c r="B67" t="s">
        <v>51</v>
      </c>
      <c r="C67" t="str">
        <f>'Inputs - Flow Network'!$C$4</f>
        <v>Panels</v>
      </c>
      <c r="F67">
        <v>333557.57900000003</v>
      </c>
      <c r="G67">
        <v>25</v>
      </c>
      <c r="J67" t="b">
        <f>TRUE()</f>
        <v>1</v>
      </c>
      <c r="K67">
        <v>2014</v>
      </c>
    </row>
    <row r="68" spans="1:11" hidden="1">
      <c r="A68" t="s">
        <v>56</v>
      </c>
      <c r="B68" t="s">
        <v>51</v>
      </c>
      <c r="C68" t="str">
        <f>'Inputs - Flow Network'!$C$4</f>
        <v>Panels</v>
      </c>
      <c r="F68">
        <v>339946.06</v>
      </c>
      <c r="G68">
        <v>26</v>
      </c>
      <c r="J68" t="b">
        <f>TRUE()</f>
        <v>1</v>
      </c>
      <c r="K68">
        <v>2015</v>
      </c>
    </row>
    <row r="69" spans="1:11" hidden="1">
      <c r="A69" t="s">
        <v>56</v>
      </c>
      <c r="B69" t="s">
        <v>51</v>
      </c>
      <c r="C69" t="str">
        <f>'Inputs - Flow Network'!$C$4</f>
        <v>Panels</v>
      </c>
      <c r="F69">
        <v>364860.571</v>
      </c>
      <c r="G69">
        <v>27</v>
      </c>
      <c r="J69" t="b">
        <f>TRUE()</f>
        <v>1</v>
      </c>
      <c r="K69">
        <v>2016</v>
      </c>
    </row>
    <row r="70" spans="1:11" hidden="1">
      <c r="A70" t="s">
        <v>56</v>
      </c>
      <c r="B70" t="s">
        <v>51</v>
      </c>
      <c r="C70" t="str">
        <f>'Inputs - Flow Network'!$C$4</f>
        <v>Panels</v>
      </c>
      <c r="F70">
        <v>362119.73</v>
      </c>
      <c r="G70">
        <v>28</v>
      </c>
      <c r="J70" t="b">
        <f>TRUE()</f>
        <v>1</v>
      </c>
      <c r="K70">
        <v>2017</v>
      </c>
    </row>
    <row r="71" spans="1:11" hidden="1">
      <c r="A71" t="s">
        <v>56</v>
      </c>
      <c r="B71" t="s">
        <v>51</v>
      </c>
      <c r="C71" t="str">
        <f>'Inputs - Flow Network'!$C$4</f>
        <v>Panels</v>
      </c>
      <c r="F71">
        <v>349184.86499999999</v>
      </c>
      <c r="G71">
        <v>29</v>
      </c>
      <c r="J71" t="b">
        <f>TRUE()</f>
        <v>1</v>
      </c>
      <c r="K71">
        <v>2018</v>
      </c>
    </row>
    <row r="72" spans="1:11" hidden="1">
      <c r="A72" t="s">
        <v>56</v>
      </c>
      <c r="B72" t="s">
        <v>51</v>
      </c>
      <c r="C72" t="str">
        <f>'Inputs - Flow Network'!$C$4</f>
        <v>Panels</v>
      </c>
      <c r="F72">
        <v>334642.99400000001</v>
      </c>
      <c r="G72">
        <v>30</v>
      </c>
      <c r="J72" t="b">
        <f>TRUE()</f>
        <v>1</v>
      </c>
      <c r="K72">
        <v>2019</v>
      </c>
    </row>
    <row r="73" spans="1:11" hidden="1">
      <c r="A73" t="s">
        <v>56</v>
      </c>
      <c r="B73" t="s">
        <v>51</v>
      </c>
      <c r="C73" t="str">
        <f>'Inputs - Flow Network'!$C$4</f>
        <v>Panels</v>
      </c>
      <c r="F73">
        <v>290195.58600000001</v>
      </c>
      <c r="G73">
        <v>31</v>
      </c>
      <c r="J73" t="b">
        <f>TRUE()</f>
        <v>1</v>
      </c>
      <c r="K73">
        <v>2020</v>
      </c>
    </row>
    <row r="74" spans="1:11" hidden="1">
      <c r="A74" t="s">
        <v>56</v>
      </c>
      <c r="B74" t="s">
        <v>51</v>
      </c>
      <c r="C74" t="str">
        <f>'Inputs - Flow Network'!$C$4</f>
        <v>Panels</v>
      </c>
      <c r="F74">
        <v>317238.42499999999</v>
      </c>
      <c r="G74">
        <v>32</v>
      </c>
      <c r="J74" t="b">
        <f>TRUE()</f>
        <v>1</v>
      </c>
      <c r="K74">
        <v>2021</v>
      </c>
    </row>
    <row r="75" spans="1:11" hidden="1">
      <c r="A75" t="s">
        <v>56</v>
      </c>
      <c r="B75" t="s">
        <v>51</v>
      </c>
      <c r="C75" t="str">
        <f>'Inputs - Flow Network'!$C$4</f>
        <v>Panels</v>
      </c>
      <c r="F75">
        <v>306767.86900000001</v>
      </c>
      <c r="G75">
        <v>33</v>
      </c>
      <c r="J75" t="b">
        <f>TRUE()</f>
        <v>1</v>
      </c>
      <c r="K75">
        <v>2022</v>
      </c>
    </row>
    <row r="76" spans="1:11" hidden="1">
      <c r="A76" t="s">
        <v>56</v>
      </c>
      <c r="B76" t="s">
        <v>51</v>
      </c>
      <c r="C76" t="str">
        <f>'Inputs - Flow Network'!$C$4</f>
        <v>Panels</v>
      </c>
      <c r="F76">
        <v>250869.93799999999</v>
      </c>
      <c r="G76">
        <v>34</v>
      </c>
      <c r="J76" t="b">
        <f>TRUE()</f>
        <v>1</v>
      </c>
      <c r="K76">
        <v>2023</v>
      </c>
    </row>
    <row r="77" spans="1:11" hidden="1">
      <c r="A77" t="s">
        <v>56</v>
      </c>
      <c r="B77" t="s">
        <v>51</v>
      </c>
      <c r="C77" t="str">
        <f>'Inputs - Flow Network'!$C$4</f>
        <v>Panels</v>
      </c>
      <c r="F77">
        <v>251212.375</v>
      </c>
      <c r="G77">
        <v>35</v>
      </c>
      <c r="J77" t="b">
        <f>TRUE()</f>
        <v>1</v>
      </c>
      <c r="K77">
        <v>2024</v>
      </c>
    </row>
    <row r="78" spans="1:11" hidden="1"/>
    <row r="79" spans="1:11" hidden="1">
      <c r="A79" t="s">
        <v>56</v>
      </c>
      <c r="B79" t="s">
        <v>51</v>
      </c>
      <c r="C79" t="str">
        <f>'Inputs - Flow Network'!$C$5</f>
        <v>Paper</v>
      </c>
      <c r="F79">
        <v>292202</v>
      </c>
      <c r="G79">
        <v>1</v>
      </c>
      <c r="J79" t="b">
        <f>TRUE()</f>
        <v>1</v>
      </c>
      <c r="K79">
        <v>1990</v>
      </c>
    </row>
    <row r="80" spans="1:11" hidden="1">
      <c r="A80" t="s">
        <v>56</v>
      </c>
      <c r="B80" t="s">
        <v>51</v>
      </c>
      <c r="C80" t="str">
        <f>'Inputs - Flow Network'!$C$5</f>
        <v>Paper</v>
      </c>
      <c r="F80">
        <v>314590</v>
      </c>
      <c r="G80">
        <v>2</v>
      </c>
      <c r="J80" t="b">
        <f>TRUE()</f>
        <v>1</v>
      </c>
      <c r="K80">
        <v>1991</v>
      </c>
    </row>
    <row r="81" spans="1:11" hidden="1">
      <c r="A81" t="s">
        <v>56</v>
      </c>
      <c r="B81" t="s">
        <v>51</v>
      </c>
      <c r="C81" t="str">
        <f>'Inputs - Flow Network'!$C$5</f>
        <v>Paper</v>
      </c>
      <c r="F81">
        <v>284868</v>
      </c>
      <c r="G81">
        <v>3</v>
      </c>
      <c r="J81" t="b">
        <f>TRUE()</f>
        <v>1</v>
      </c>
      <c r="K81">
        <v>1992</v>
      </c>
    </row>
    <row r="82" spans="1:11" hidden="1">
      <c r="A82" t="s">
        <v>56</v>
      </c>
      <c r="B82" t="s">
        <v>51</v>
      </c>
      <c r="C82" t="str">
        <f>'Inputs - Flow Network'!$C$5</f>
        <v>Paper</v>
      </c>
      <c r="F82">
        <v>322696</v>
      </c>
      <c r="G82">
        <v>4</v>
      </c>
      <c r="J82" t="b">
        <f>TRUE()</f>
        <v>1</v>
      </c>
      <c r="K82">
        <v>1993</v>
      </c>
    </row>
    <row r="83" spans="1:11" hidden="1">
      <c r="A83" t="s">
        <v>56</v>
      </c>
      <c r="B83" t="s">
        <v>51</v>
      </c>
      <c r="C83" t="str">
        <f>'Inputs - Flow Network'!$C$5</f>
        <v>Paper</v>
      </c>
      <c r="F83">
        <v>333504</v>
      </c>
      <c r="G83">
        <v>5</v>
      </c>
      <c r="J83" t="b">
        <f>TRUE()</f>
        <v>1</v>
      </c>
      <c r="K83">
        <v>1994</v>
      </c>
    </row>
    <row r="84" spans="1:11" hidden="1">
      <c r="A84" t="s">
        <v>56</v>
      </c>
      <c r="B84" t="s">
        <v>51</v>
      </c>
      <c r="C84" t="str">
        <f>'Inputs - Flow Network'!$C$5</f>
        <v>Paper</v>
      </c>
      <c r="F84">
        <v>348558</v>
      </c>
      <c r="G84">
        <v>6</v>
      </c>
      <c r="J84" t="b">
        <f>TRUE()</f>
        <v>1</v>
      </c>
      <c r="K84">
        <v>1995</v>
      </c>
    </row>
    <row r="85" spans="1:11" hidden="1">
      <c r="A85" t="s">
        <v>56</v>
      </c>
      <c r="B85" t="s">
        <v>51</v>
      </c>
      <c r="C85" t="str">
        <f>'Inputs - Flow Network'!$C$5</f>
        <v>Paper</v>
      </c>
      <c r="F85">
        <v>333890</v>
      </c>
      <c r="G85">
        <v>7</v>
      </c>
      <c r="J85" t="b">
        <f>TRUE()</f>
        <v>1</v>
      </c>
      <c r="K85">
        <v>1996</v>
      </c>
    </row>
    <row r="86" spans="1:11" hidden="1">
      <c r="A86" t="s">
        <v>56</v>
      </c>
      <c r="B86" t="s">
        <v>51</v>
      </c>
      <c r="C86" t="str">
        <f>'Inputs - Flow Network'!$C$5</f>
        <v>Paper</v>
      </c>
      <c r="F86">
        <v>343540</v>
      </c>
      <c r="G86">
        <v>8</v>
      </c>
      <c r="J86" t="b">
        <f>TRUE()</f>
        <v>1</v>
      </c>
      <c r="K86">
        <v>1997</v>
      </c>
    </row>
    <row r="87" spans="1:11" hidden="1">
      <c r="A87" t="s">
        <v>56</v>
      </c>
      <c r="B87" t="s">
        <v>51</v>
      </c>
      <c r="C87" t="str">
        <f>'Inputs - Flow Network'!$C$5</f>
        <v>Paper</v>
      </c>
      <c r="F87">
        <v>325784</v>
      </c>
      <c r="G87">
        <v>9</v>
      </c>
      <c r="J87" t="b">
        <f>TRUE()</f>
        <v>1</v>
      </c>
      <c r="K87">
        <v>1998</v>
      </c>
    </row>
    <row r="88" spans="1:11" hidden="1">
      <c r="A88" t="s">
        <v>56</v>
      </c>
      <c r="B88" t="s">
        <v>51</v>
      </c>
      <c r="C88" t="str">
        <f>'Inputs - Flow Network'!$C$5</f>
        <v>Paper</v>
      </c>
      <c r="F88">
        <v>315362</v>
      </c>
      <c r="G88">
        <v>10</v>
      </c>
      <c r="J88" t="b">
        <f>TRUE()</f>
        <v>1</v>
      </c>
      <c r="K88">
        <v>1999</v>
      </c>
    </row>
    <row r="89" spans="1:11" hidden="1">
      <c r="A89" t="s">
        <v>56</v>
      </c>
      <c r="B89" t="s">
        <v>51</v>
      </c>
      <c r="C89" t="str">
        <f>'Inputs - Flow Network'!$C$5</f>
        <v>Paper</v>
      </c>
      <c r="F89">
        <v>338522</v>
      </c>
      <c r="G89">
        <v>11</v>
      </c>
      <c r="J89" t="b">
        <f>TRUE()</f>
        <v>1</v>
      </c>
      <c r="K89">
        <v>2000</v>
      </c>
    </row>
    <row r="90" spans="1:11" hidden="1">
      <c r="A90" t="s">
        <v>56</v>
      </c>
      <c r="B90" t="s">
        <v>51</v>
      </c>
      <c r="C90" t="str">
        <f>'Inputs - Flow Network'!$C$5</f>
        <v>Paper</v>
      </c>
      <c r="F90">
        <v>323854</v>
      </c>
      <c r="G90">
        <v>12</v>
      </c>
      <c r="J90" t="b">
        <f>TRUE()</f>
        <v>1</v>
      </c>
      <c r="K90">
        <v>2001</v>
      </c>
    </row>
    <row r="91" spans="1:11" hidden="1">
      <c r="A91" t="s">
        <v>56</v>
      </c>
      <c r="B91" t="s">
        <v>51</v>
      </c>
      <c r="C91" t="str">
        <f>'Inputs - Flow Network'!$C$5</f>
        <v>Paper</v>
      </c>
      <c r="F91">
        <v>337203.81</v>
      </c>
      <c r="G91">
        <v>13</v>
      </c>
      <c r="J91" t="b">
        <f>TRUE()</f>
        <v>1</v>
      </c>
      <c r="K91">
        <v>2002</v>
      </c>
    </row>
    <row r="92" spans="1:11" hidden="1">
      <c r="A92" t="s">
        <v>56</v>
      </c>
      <c r="B92" t="s">
        <v>51</v>
      </c>
      <c r="C92" t="str">
        <f>'Inputs - Flow Network'!$C$5</f>
        <v>Paper</v>
      </c>
      <c r="F92">
        <v>312710.18</v>
      </c>
      <c r="G92">
        <v>14</v>
      </c>
      <c r="J92" t="b">
        <f>TRUE()</f>
        <v>1</v>
      </c>
      <c r="K92">
        <v>2003</v>
      </c>
    </row>
    <row r="93" spans="1:11" hidden="1">
      <c r="A93" t="s">
        <v>56</v>
      </c>
      <c r="B93" t="s">
        <v>51</v>
      </c>
      <c r="C93" t="str">
        <f>'Inputs - Flow Network'!$C$5</f>
        <v>Paper</v>
      </c>
      <c r="F93">
        <v>353928.41800000001</v>
      </c>
      <c r="G93">
        <v>15</v>
      </c>
      <c r="J93" t="b">
        <f>TRUE()</f>
        <v>1</v>
      </c>
      <c r="K93">
        <v>2004</v>
      </c>
    </row>
    <row r="94" spans="1:11" hidden="1">
      <c r="A94" t="s">
        <v>56</v>
      </c>
      <c r="B94" t="s">
        <v>51</v>
      </c>
      <c r="C94" t="str">
        <f>'Inputs - Flow Network'!$C$5</f>
        <v>Paper</v>
      </c>
      <c r="F94">
        <v>367155.86599999998</v>
      </c>
      <c r="G94">
        <v>16</v>
      </c>
      <c r="J94" t="b">
        <f>TRUE()</f>
        <v>1</v>
      </c>
      <c r="K94">
        <v>2005</v>
      </c>
    </row>
    <row r="95" spans="1:11" hidden="1">
      <c r="A95" t="s">
        <v>56</v>
      </c>
      <c r="B95" t="s">
        <v>51</v>
      </c>
      <c r="C95" t="str">
        <f>'Inputs - Flow Network'!$C$5</f>
        <v>Paper</v>
      </c>
      <c r="F95">
        <v>340220.01400000002</v>
      </c>
      <c r="G95">
        <v>17</v>
      </c>
      <c r="J95" t="b">
        <f>TRUE()</f>
        <v>1</v>
      </c>
      <c r="K95">
        <v>2006</v>
      </c>
    </row>
    <row r="96" spans="1:11" hidden="1">
      <c r="A96" t="s">
        <v>56</v>
      </c>
      <c r="B96" t="s">
        <v>51</v>
      </c>
      <c r="C96" t="str">
        <f>'Inputs - Flow Network'!$C$5</f>
        <v>Paper</v>
      </c>
      <c r="F96">
        <v>331748.08600000001</v>
      </c>
      <c r="G96">
        <v>18</v>
      </c>
      <c r="J96" t="b">
        <f>TRUE()</f>
        <v>1</v>
      </c>
      <c r="K96">
        <v>2007</v>
      </c>
    </row>
    <row r="97" spans="1:11" hidden="1">
      <c r="A97" t="s">
        <v>56</v>
      </c>
      <c r="B97" t="s">
        <v>51</v>
      </c>
      <c r="C97" t="str">
        <f>'Inputs - Flow Network'!$C$5</f>
        <v>Paper</v>
      </c>
      <c r="F97">
        <v>336996.14199999999</v>
      </c>
      <c r="G97">
        <v>19</v>
      </c>
      <c r="J97" t="b">
        <f>TRUE()</f>
        <v>1</v>
      </c>
      <c r="K97">
        <v>2008</v>
      </c>
    </row>
    <row r="98" spans="1:11" hidden="1">
      <c r="A98" t="s">
        <v>56</v>
      </c>
      <c r="B98" t="s">
        <v>51</v>
      </c>
      <c r="C98" t="str">
        <f>'Inputs - Flow Network'!$C$5</f>
        <v>Paper</v>
      </c>
      <c r="F98">
        <v>341470.65399999998</v>
      </c>
      <c r="G98">
        <v>20</v>
      </c>
      <c r="J98" t="b">
        <f>TRUE()</f>
        <v>1</v>
      </c>
      <c r="K98">
        <v>2009</v>
      </c>
    </row>
    <row r="99" spans="1:11" hidden="1">
      <c r="A99" t="s">
        <v>56</v>
      </c>
      <c r="B99" t="s">
        <v>51</v>
      </c>
      <c r="C99" t="str">
        <f>'Inputs - Flow Network'!$C$5</f>
        <v>Paper</v>
      </c>
      <c r="F99">
        <v>343085.29200000002</v>
      </c>
      <c r="G99">
        <v>21</v>
      </c>
      <c r="J99" t="b">
        <f>TRUE()</f>
        <v>1</v>
      </c>
      <c r="K99">
        <v>2010</v>
      </c>
    </row>
    <row r="100" spans="1:11" hidden="1">
      <c r="A100" t="s">
        <v>56</v>
      </c>
      <c r="B100" t="s">
        <v>51</v>
      </c>
      <c r="C100" t="str">
        <f>'Inputs - Flow Network'!$C$5</f>
        <v>Paper</v>
      </c>
      <c r="F100">
        <v>312149.32199999999</v>
      </c>
      <c r="G100">
        <v>22</v>
      </c>
      <c r="J100" t="b">
        <f>TRUE()</f>
        <v>1</v>
      </c>
      <c r="K100">
        <v>2011</v>
      </c>
    </row>
    <row r="101" spans="1:11" hidden="1">
      <c r="A101" t="s">
        <v>56</v>
      </c>
      <c r="B101" t="s">
        <v>51</v>
      </c>
      <c r="C101" t="str">
        <f>'Inputs - Flow Network'!$C$5</f>
        <v>Paper</v>
      </c>
      <c r="F101">
        <v>327014.95400000003</v>
      </c>
      <c r="G101">
        <v>23</v>
      </c>
      <c r="J101" t="b">
        <f>TRUE()</f>
        <v>1</v>
      </c>
      <c r="K101">
        <v>2012</v>
      </c>
    </row>
    <row r="102" spans="1:11" hidden="1">
      <c r="A102" t="s">
        <v>56</v>
      </c>
      <c r="B102" t="s">
        <v>51</v>
      </c>
      <c r="C102" t="str">
        <f>'Inputs - Flow Network'!$C$5</f>
        <v>Paper</v>
      </c>
      <c r="F102">
        <v>281980.71999999997</v>
      </c>
      <c r="G102">
        <v>24</v>
      </c>
      <c r="J102" t="b">
        <f>TRUE()</f>
        <v>1</v>
      </c>
      <c r="K102">
        <v>2013</v>
      </c>
    </row>
    <row r="103" spans="1:11" hidden="1">
      <c r="A103" t="s">
        <v>56</v>
      </c>
      <c r="B103" t="s">
        <v>51</v>
      </c>
      <c r="C103" t="str">
        <f>'Inputs - Flow Network'!$C$5</f>
        <v>Paper</v>
      </c>
      <c r="F103">
        <v>280079.67</v>
      </c>
      <c r="G103">
        <v>25</v>
      </c>
      <c r="J103" t="b">
        <f>TRUE()</f>
        <v>1</v>
      </c>
      <c r="K103">
        <v>2014</v>
      </c>
    </row>
    <row r="104" spans="1:11" hidden="1">
      <c r="A104" t="s">
        <v>56</v>
      </c>
      <c r="B104" t="s">
        <v>51</v>
      </c>
      <c r="C104" t="str">
        <f>'Inputs - Flow Network'!$C$5</f>
        <v>Paper</v>
      </c>
      <c r="F104">
        <v>284122.24800000002</v>
      </c>
      <c r="G104">
        <v>26</v>
      </c>
      <c r="J104" t="b">
        <f>TRUE()</f>
        <v>1</v>
      </c>
      <c r="K104">
        <v>2015</v>
      </c>
    </row>
    <row r="105" spans="1:11" hidden="1">
      <c r="A105" t="s">
        <v>56</v>
      </c>
      <c r="B105" t="s">
        <v>51</v>
      </c>
      <c r="C105" t="str">
        <f>'Inputs - Flow Network'!$C$5</f>
        <v>Paper</v>
      </c>
      <c r="F105">
        <v>285328.49800000002</v>
      </c>
      <c r="G105">
        <v>27</v>
      </c>
      <c r="J105" t="b">
        <f>TRUE()</f>
        <v>1</v>
      </c>
      <c r="K105">
        <v>2016</v>
      </c>
    </row>
    <row r="106" spans="1:11" hidden="1">
      <c r="A106" t="s">
        <v>56</v>
      </c>
      <c r="B106" t="s">
        <v>51</v>
      </c>
      <c r="C106" t="str">
        <f>'Inputs - Flow Network'!$C$5</f>
        <v>Paper</v>
      </c>
      <c r="F106">
        <v>279900.95199999999</v>
      </c>
      <c r="G106">
        <v>28</v>
      </c>
      <c r="J106" t="b">
        <f>TRUE()</f>
        <v>1</v>
      </c>
      <c r="K106">
        <v>2017</v>
      </c>
    </row>
    <row r="107" spans="1:11" hidden="1">
      <c r="A107" t="s">
        <v>56</v>
      </c>
      <c r="B107" t="s">
        <v>51</v>
      </c>
      <c r="C107" t="str">
        <f>'Inputs - Flow Network'!$C$5</f>
        <v>Paper</v>
      </c>
      <c r="F107">
        <v>278843.69799999997</v>
      </c>
      <c r="G107">
        <v>29</v>
      </c>
      <c r="J107" t="b">
        <f>TRUE()</f>
        <v>1</v>
      </c>
      <c r="K107">
        <v>2018</v>
      </c>
    </row>
    <row r="108" spans="1:11" hidden="1">
      <c r="A108" t="s">
        <v>56</v>
      </c>
      <c r="B108" t="s">
        <v>51</v>
      </c>
      <c r="C108" t="str">
        <f>'Inputs - Flow Network'!$C$5</f>
        <v>Paper</v>
      </c>
      <c r="F108">
        <v>279372.90399999998</v>
      </c>
      <c r="G108">
        <v>30</v>
      </c>
      <c r="J108" t="b">
        <f>TRUE()</f>
        <v>1</v>
      </c>
      <c r="K108">
        <v>2019</v>
      </c>
    </row>
    <row r="109" spans="1:11" hidden="1">
      <c r="A109" t="s">
        <v>56</v>
      </c>
      <c r="B109" t="s">
        <v>51</v>
      </c>
      <c r="C109" t="str">
        <f>'Inputs - Flow Network'!$C$5</f>
        <v>Paper</v>
      </c>
      <c r="F109">
        <v>255542.03599999999</v>
      </c>
      <c r="G109">
        <v>31</v>
      </c>
      <c r="J109" t="b">
        <f>TRUE()</f>
        <v>1</v>
      </c>
      <c r="K109">
        <v>2020</v>
      </c>
    </row>
    <row r="110" spans="1:11" hidden="1">
      <c r="A110" t="s">
        <v>56</v>
      </c>
      <c r="B110" t="s">
        <v>51</v>
      </c>
      <c r="C110" t="str">
        <f>'Inputs - Flow Network'!$C$5</f>
        <v>Paper</v>
      </c>
      <c r="F110">
        <v>220470.848</v>
      </c>
      <c r="G110">
        <v>32</v>
      </c>
      <c r="J110" t="b">
        <f>TRUE()</f>
        <v>1</v>
      </c>
      <c r="K110">
        <v>2021</v>
      </c>
    </row>
    <row r="111" spans="1:11" hidden="1">
      <c r="A111" t="s">
        <v>56</v>
      </c>
      <c r="B111" t="s">
        <v>51</v>
      </c>
      <c r="C111" t="str">
        <f>'Inputs - Flow Network'!$C$5</f>
        <v>Paper</v>
      </c>
      <c r="F111">
        <v>202709.44399999999</v>
      </c>
      <c r="G111">
        <v>33</v>
      </c>
      <c r="J111" t="b">
        <f>TRUE()</f>
        <v>1</v>
      </c>
      <c r="K111">
        <v>2022</v>
      </c>
    </row>
    <row r="112" spans="1:11" hidden="1">
      <c r="A112" t="s">
        <v>56</v>
      </c>
      <c r="B112" t="s">
        <v>51</v>
      </c>
      <c r="C112" t="str">
        <f>'Inputs - Flow Network'!$C$5</f>
        <v>Paper</v>
      </c>
      <c r="F112">
        <v>185375.342</v>
      </c>
      <c r="G112">
        <v>34</v>
      </c>
      <c r="J112" t="b">
        <f>TRUE()</f>
        <v>1</v>
      </c>
      <c r="K112">
        <v>2023</v>
      </c>
    </row>
    <row r="113" spans="1:11" hidden="1">
      <c r="A113" t="s">
        <v>56</v>
      </c>
      <c r="B113" t="s">
        <v>51</v>
      </c>
      <c r="C113" t="str">
        <f>'Inputs - Flow Network'!$C$5</f>
        <v>Paper</v>
      </c>
      <c r="F113">
        <v>205738</v>
      </c>
      <c r="G113">
        <v>35</v>
      </c>
      <c r="J113" t="b">
        <f>TRUE()</f>
        <v>1</v>
      </c>
      <c r="K113">
        <v>2024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 - Flow Network</vt:lpstr>
      <vt:lpstr>Inputs - Carbon 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Sheng H. Xie</dc:creator>
  <dc:description/>
  <cp:lastModifiedBy>Sheng H. Xie</cp:lastModifiedBy>
  <cp:revision>1</cp:revision>
  <dcterms:created xsi:type="dcterms:W3CDTF">2026-01-04T10:59:27Z</dcterms:created>
  <dcterms:modified xsi:type="dcterms:W3CDTF">2026-05-19T22:34:11Z</dcterms:modified>
  <dc:language>en-US</dc:language>
</cp:coreProperties>
</file>